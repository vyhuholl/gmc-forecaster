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6130"/>
  <workbookPr dateCompatibility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4С1\"/>
    </mc:Choice>
  </mc:AlternateContent>
  <xr:revisionPtr revIDLastSave="0" documentId="8_{A8ED2BC0-1861-4E08-B083-D374F06DF16B}" xr6:coauthVersionLast="47" xr6:coauthVersionMax="47" xr10:uidLastSave="{00000000-0000-0000-0000-000000000000}"/>
  <bookViews>
    <workbookView xWindow="22932" yWindow="-108" windowWidth="30936" windowHeight="16896" tabRatio="612"/>
  </bookViews>
  <sheets>
    <sheet name="Your decisions" sheetId="1" r:id="rId1"/>
    <sheet name="Resources and products" sheetId="2" r:id="rId2"/>
    <sheet name="Financial statements" sheetId="3" r:id="rId3"/>
    <sheet name="Group information" sheetId="4" r:id="rId4"/>
    <sheet name="W" sheetId="5" r:id="rId5"/>
  </sheets>
  <definedNames>
    <definedName name="_W201141" localSheetId="4">W!$A$1:$B$865</definedName>
    <definedName name="WHStest_6">W!#REF!</definedName>
    <definedName name="_xlnm.Print_Area" localSheetId="2">'Financial statements'!$A$1:$Y$39</definedName>
    <definedName name="_xlnm.Print_Area" localSheetId="3">'Group information'!$A$1:$N$114</definedName>
    <definedName name="_xlnm.Print_Area" localSheetId="1">'Resources and products'!$A$1:$AA$48</definedName>
    <definedName name="_xlnm.Print_Area" localSheetId="0">'Your decisions'!$A$1:$Y$38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O29" i="2"/>
  <c r="N30" i="2"/>
  <c r="M30" i="2"/>
  <c r="G30" i="2"/>
  <c r="Y28" i="2"/>
  <c r="W28" i="2"/>
  <c r="U28" i="2"/>
  <c r="Y27" i="2"/>
  <c r="W27" i="2"/>
  <c r="U27" i="2"/>
  <c r="N27" i="2"/>
  <c r="N28" i="2" s="1"/>
  <c r="M27" i="2"/>
  <c r="M29" i="2" s="1"/>
  <c r="G27" i="2"/>
  <c r="O26" i="2"/>
  <c r="O28" i="2"/>
  <c r="N26" i="2"/>
  <c r="M26" i="2"/>
  <c r="M28" i="2" s="1"/>
  <c r="G25" i="2"/>
  <c r="N44" i="2" s="1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G26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O11" i="2"/>
  <c r="N10" i="2"/>
  <c r="G10" i="2"/>
  <c r="G15" i="2" s="1"/>
  <c r="G11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N11" i="2" s="1"/>
  <c r="G7" i="2"/>
  <c r="G8" i="2" s="1"/>
  <c r="G9" i="2" s="1"/>
  <c r="Y6" i="2"/>
  <c r="W6" i="2"/>
  <c r="U6" i="2"/>
  <c r="X1" i="2"/>
  <c r="U1" i="2"/>
  <c r="H1" i="2"/>
  <c r="E1" i="2"/>
  <c r="R36" i="3"/>
  <c r="R35" i="3" s="1"/>
  <c r="X35" i="3"/>
  <c r="X34" i="3"/>
  <c r="R34" i="3"/>
  <c r="L34" i="3"/>
  <c r="F34" i="3"/>
  <c r="R33" i="3"/>
  <c r="L30" i="3" s="1"/>
  <c r="F33" i="3"/>
  <c r="X32" i="3"/>
  <c r="L32" i="3"/>
  <c r="X30" i="3"/>
  <c r="X29" i="3"/>
  <c r="L29" i="3"/>
  <c r="L33" i="3"/>
  <c r="L35" i="3" s="1"/>
  <c r="F29" i="3"/>
  <c r="R28" i="3"/>
  <c r="L28" i="3"/>
  <c r="F28" i="3"/>
  <c r="X26" i="3"/>
  <c r="X27" i="3"/>
  <c r="R26" i="3"/>
  <c r="X31" i="3"/>
  <c r="R27" i="3"/>
  <c r="L26" i="3"/>
  <c r="L27" i="3" s="1"/>
  <c r="F27" i="3" s="1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L24" i="3"/>
  <c r="F21" i="3"/>
  <c r="L20" i="3"/>
  <c r="F20" i="3"/>
  <c r="R19" i="3"/>
  <c r="L19" i="3"/>
  <c r="F19" i="3"/>
  <c r="X18" i="3"/>
  <c r="R18" i="3"/>
  <c r="L18" i="3"/>
  <c r="F18" i="3"/>
  <c r="X17" i="3"/>
  <c r="R17" i="3"/>
  <c r="L17" i="3"/>
  <c r="F17" i="3"/>
  <c r="X16" i="3"/>
  <c r="X19" i="3" s="1"/>
  <c r="R16" i="3"/>
  <c r="L16" i="3"/>
  <c r="F16" i="3"/>
  <c r="R15" i="3"/>
  <c r="R20" i="3" s="1"/>
  <c r="L15" i="3"/>
  <c r="F15" i="3"/>
  <c r="L14" i="3"/>
  <c r="F14" i="3"/>
  <c r="L13" i="3"/>
  <c r="F13" i="3"/>
  <c r="X12" i="3"/>
  <c r="L12" i="3"/>
  <c r="F12" i="3"/>
  <c r="X11" i="3"/>
  <c r="X13" i="3" s="1"/>
  <c r="R11" i="3"/>
  <c r="L11" i="3"/>
  <c r="F11" i="3"/>
  <c r="X10" i="3"/>
  <c r="R10" i="3"/>
  <c r="L10" i="3"/>
  <c r="F10" i="3"/>
  <c r="X9" i="3"/>
  <c r="R9" i="3"/>
  <c r="R12" i="3" s="1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I83" i="4" s="1"/>
  <c r="H82" i="4"/>
  <c r="G82" i="4"/>
  <c r="F82" i="4"/>
  <c r="M81" i="4"/>
  <c r="L81" i="4"/>
  <c r="K81" i="4"/>
  <c r="J81" i="4"/>
  <c r="I81" i="4"/>
  <c r="H81" i="4"/>
  <c r="G81" i="4"/>
  <c r="G83" i="4" s="1"/>
  <c r="F81" i="4"/>
  <c r="M80" i="4"/>
  <c r="M83" i="4" s="1"/>
  <c r="L80" i="4"/>
  <c r="L83" i="4" s="1"/>
  <c r="K80" i="4"/>
  <c r="K83" i="4" s="1"/>
  <c r="J80" i="4"/>
  <c r="J83" i="4" s="1"/>
  <c r="I80" i="4"/>
  <c r="H80" i="4"/>
  <c r="H83" i="4" s="1"/>
  <c r="G80" i="4"/>
  <c r="F80" i="4"/>
  <c r="F83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I16" i="4" s="1"/>
  <c r="G13" i="4"/>
  <c r="L10" i="4"/>
  <c r="H10" i="4"/>
  <c r="G10" i="4"/>
  <c r="H7" i="4"/>
  <c r="G7" i="4"/>
  <c r="H6" i="4"/>
  <c r="G6" i="4"/>
  <c r="I5" i="4"/>
  <c r="H5" i="4"/>
  <c r="G5" i="4"/>
  <c r="N1" i="4"/>
  <c r="L1" i="4"/>
  <c r="J1" i="4"/>
  <c r="H16" i="4"/>
  <c r="N43" i="2"/>
  <c r="N45" i="2" s="1"/>
  <c r="G16" i="4"/>
  <c r="H17" i="4"/>
  <c r="I17" i="4"/>
  <c r="R21" i="3" l="1"/>
  <c r="R30" i="3" s="1"/>
  <c r="G17" i="4"/>
  <c r="N29" i="2"/>
</calcChain>
</file>

<file path=xl/connections.xml><?xml version="1.0" encoding="utf-8"?>
<connections xmlns="http://purl.oclc.org/ooxml/spreadsheetml/main">
  <connection id="1" name="W201141" type="6" refreshedVersion="4" background="1" saveData="1">
    <textPr prompt="0" characterSet="ibm850" sourceFile="C:\GMC\ON_14C1\RUN_14C1\Wfiles\141\W201141.txt" decimal="," thousands=".">
      <textFields>
        <textField/>
      </textFields>
    </textPr>
  </connection>
</connections>
</file>

<file path=xl/sharedStrings.xml><?xml version="1.0" encoding="utf-8"?>
<sst xmlns="http://purl.oclc.org/ooxml/spreadsheetml/main" count="557" uniqueCount="347">
  <si>
    <t>%</t>
  </si>
  <si>
    <t xml:space="preserve"> </t>
  </si>
  <si>
    <t>)</t>
  </si>
  <si>
    <t xml:space="preserve">       </t>
  </si>
  <si>
    <t>World Copyright © 2013 - EDIT 515 Ltd, UK and SDG - Simuladores e Modelos de Gestão, S.A.</t>
  </si>
  <si>
    <t xml:space="preserve">  The Global Management Challenge is a business simulation designed by Edit Systems Ltd.  (www.edit515.co.uk)</t>
  </si>
  <si>
    <t>and organised worldwide by SDG - Simuladores e Modelos de Gestão, S.A. Lisboa, Portugal  (www.worldgmc.com)</t>
  </si>
  <si>
    <t>The Global Management Challenge is a business simulation designed by Edit Systems Ltd. (www.edit515.co.uk) and organised by SDG S.A.  (www.worldgmc.com)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</si>
  <si>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</si>
  <si>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</si>
  <si>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</si>
  <si>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</si>
  <si>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</si>
  <si>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</si>
  <si>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</si>
  <si>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</si>
  <si>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</si>
  <si>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</si>
  <si>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</si>
  <si>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</si>
  <si>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</si>
  <si>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</si>
  <si>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</si>
  <si>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</si>
  <si>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</si>
  <si>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</si>
  <si>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</si>
  <si>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</si>
  <si>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</si>
  <si>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</si>
  <si>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</si>
  <si>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</si>
  <si>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</si>
  <si>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</si>
  <si>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</si>
  <si>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</si>
  <si>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</si>
  <si>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</si>
  <si>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</si>
  <si>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</si>
  <si>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</si>
  <si>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</si>
  <si>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</si>
  <si>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</si>
  <si>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</si>
  <si>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</si>
  <si>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</si>
  <si>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</si>
  <si>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</si>
  <si>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</si>
  <si>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</si>
  <si>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</si>
  <si>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</si>
  <si>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</si>
  <si>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</si>
  <si>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</si>
  <si>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</si>
  <si>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</si>
  <si>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</si>
  <si>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</si>
  <si>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</si>
  <si>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</si>
  <si>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</si>
  <si>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</si>
  <si>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</si>
  <si>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</si>
  <si>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</si>
  <si>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</si>
  <si>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</si>
  <si>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</si>
  <si>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</si>
  <si>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</si>
  <si>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</si>
  <si>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</si>
  <si>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</si>
  <si>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</si>
  <si>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</si>
  <si>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</si>
  <si>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</si>
  <si>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</si>
  <si>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</si>
  <si>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</si>
  <si>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</si>
  <si>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</si>
  <si>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</si>
  <si>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</si>
  <si>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</si>
  <si>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</si>
  <si>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</si>
  <si>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</si>
  <si>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</si>
  <si>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</si>
  <si>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</si>
  <si>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</si>
  <si>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</si>
  <si>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</si>
  <si>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</si>
  <si>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</si>
  <si>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</si>
  <si>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</si>
  <si>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</si>
  <si>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</si>
  <si>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</si>
  <si>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</si>
  <si>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</si>
  <si>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</si>
  <si>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</si>
  <si>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</si>
  <si>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</si>
  <si>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</si>
  <si>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</si>
  <si>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</si>
  <si>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</si>
  <si>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</si>
  <si>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</si>
  <si>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</si>
  <si>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</si>
  <si>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</si>
  <si>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</si>
  <si>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</si>
  <si>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</si>
  <si>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</si>
  <si>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</si>
  <si>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</si>
  <si>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</si>
  <si>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</si>
  <si>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</si>
  <si>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</si>
  <si>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</si>
  <si>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</si>
  <si>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</si>
  <si>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</si>
  <si>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</si>
  <si>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</si>
  <si>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</si>
  <si>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</si>
  <si>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</si>
  <si>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</si>
  <si>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</si>
  <si>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</si>
  <si>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</si>
  <si>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</si>
  <si>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</si>
  <si>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</si>
  <si>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</si>
  <si>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</si>
  <si>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</si>
  <si>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</si>
  <si>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</si>
  <si>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</si>
  <si>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</si>
  <si>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r>
      <t xml:space="preserve"> </t>
    </r>
    <r>
      <rPr>
        <sz val="8"/>
        <rFont val="Arial"/>
        <family val="2"/>
      </rPr>
      <t>The Global Management Challenge is a business simulation designed by Edit Systems Ltd. (www.edit515.co.uk) and organised by SDG - Simuladores e Modelos de Gestão S.A. Portugal</t>
    </r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</si>
  <si>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</si>
  <si>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</si>
  <si>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</si>
  <si>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</si>
  <si>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</si>
  <si>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</si>
  <si>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</si>
  <si>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</si>
  <si>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</si>
  <si>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</si>
  <si>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</si>
  <si>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</si>
  <si>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</si>
  <si>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</si>
  <si>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</si>
  <si>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</si>
  <si>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</si>
  <si>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</si>
  <si>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</si>
  <si>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</si>
  <si>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</si>
  <si>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</si>
  <si>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</si>
  <si>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</si>
  <si>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</si>
  <si>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</si>
  <si>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</si>
  <si>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</si>
  <si>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</si>
  <si>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</si>
  <si>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</si>
  <si>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</si>
  <si>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</si>
  <si>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</si>
  <si>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</si>
  <si>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</si>
  <si>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</si>
  <si>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</si>
  <si>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</si>
  <si>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</si>
  <si>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</si>
  <si>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</si>
  <si>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</si>
  <si>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</si>
  <si>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</si>
  <si>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</si>
  <si>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</si>
  <si>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</si>
  <si>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</si>
  <si>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</si>
  <si>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</si>
  <si>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</si>
  <si>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</si>
  <si>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</si>
  <si>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</si>
  <si>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</si>
  <si>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</si>
  <si>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</si>
  <si>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</si>
  <si>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</si>
  <si>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</si>
  <si>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</si>
  <si>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</si>
  <si>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</si>
  <si>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</si>
  <si>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</si>
  <si>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</si>
  <si>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</si>
  <si>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</si>
  <si>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</si>
  <si>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</si>
  <si>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</si>
  <si>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</si>
  <si>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</si>
  <si>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</si>
  <si>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</si>
  <si>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</si>
  <si>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</si>
  <si>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</si>
  <si>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</si>
  <si>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</si>
  <si>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</si>
  <si>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</si>
  <si>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</si>
  <si>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</si>
  <si>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</si>
  <si>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</si>
  <si>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</si>
  <si>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</si>
  <si>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</si>
  <si>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</si>
  <si>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</si>
  <si>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</si>
  <si>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</si>
  <si>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</si>
  <si>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</si>
  <si>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</si>
  <si>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</si>
  <si>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</si>
  <si>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</si>
  <si>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</si>
  <si>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</si>
  <si>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</si>
  <si>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</si>
  <si>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</si>
  <si>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</si>
  <si>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</si>
  <si>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</si>
  <si>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</si>
  <si>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Фондовый рынок:</t>
  </si>
  <si>
    <t xml:space="preserve">  Дивиденды (в %)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</si>
  <si>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</si>
  <si>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</si>
  <si>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</si>
  <si>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</si>
  <si>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</si>
  <si>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</si>
  <si>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</si>
  <si>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</si>
  <si>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</si>
  <si>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</si>
  <si>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</si>
  <si>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</si>
  <si>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</si>
  <si>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</si>
  <si>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</si>
  <si>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</si>
  <si>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</si>
  <si>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</si>
  <si>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</si>
  <si>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</si>
  <si>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</si>
  <si>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</si>
  <si>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</si>
  <si>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</si>
  <si>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</si>
  <si>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</si>
  <si>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</si>
  <si>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</si>
  <si>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</si>
  <si>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</si>
  <si>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>ЕАЭС</t>
  </si>
  <si>
    <t>Агенты в ЕАЭС</t>
  </si>
  <si>
    <t xml:space="preserve">  ЕАЭС</t>
  </si>
  <si>
    <t xml:space="preserve">  Агентам в ЕАЭС</t>
  </si>
  <si>
    <t xml:space="preserve">  Продукт 1:  ЕАЭС      </t>
  </si>
  <si>
    <t xml:space="preserve">  Продукт 2:  ЕАЭС</t>
  </si>
  <si>
    <t xml:space="preserve">  Продукт 3:  ЕАЭС</t>
  </si>
  <si>
    <t>Реклама (тыс. ерз.):</t>
  </si>
  <si>
    <t>Цены (ерз.):</t>
  </si>
  <si>
    <t>Вложения в НИОКР (тыс.ерз.)</t>
  </si>
  <si>
    <t>(ерз. )</t>
  </si>
  <si>
    <t xml:space="preserve">  Цена строительства (ерз./кв.м.)</t>
  </si>
  <si>
    <t xml:space="preserve">  Цена полуфабрикатов (ерз./шт.)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</si>
  <si>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</si>
  <si>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</si>
  <si>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</si>
  <si>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</si>
  <si>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(тыс. ерз.)</t>
  </si>
  <si>
    <t>Развитие сайта (тыс. ерз.)</t>
  </si>
  <si>
    <t>Управленческий бюджет (тыс.ерз.)</t>
  </si>
  <si>
    <t>Срочные кредиты (тыс. ерз.)</t>
  </si>
  <si>
    <t>Срочный депозит (т. 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</si>
  <si>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</si>
  <si>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</si>
  <si>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>Транспорт:</t>
  </si>
  <si>
    <t>Прибыль на акцию (ерзцент)</t>
  </si>
  <si>
    <t>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</si>
  <si>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</si>
  <si>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</si>
  <si>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>ЭКОНОМИЧАСЕАНКАЯ ИНФОРМАЦИЯ</t>
  </si>
  <si>
    <t xml:space="preserve">  АСЕАН</t>
  </si>
  <si>
    <t xml:space="preserve">    Курс ерз. к доллару (ерз./$)</t>
  </si>
  <si>
    <t xml:space="preserve">  Цена обычного сырья (долларов за 1000 шт.)</t>
  </si>
  <si>
    <t>БИЗНЕС-АНАЛИТИКА:</t>
  </si>
  <si>
    <t>БЕСПЛАТНАЯ ИНФОРМАЦИЯ</t>
  </si>
  <si>
    <t xml:space="preserve">  Инвест. привлекательность</t>
  </si>
  <si>
    <t>Дистрибьюторы в АСЕАН</t>
  </si>
  <si>
    <t>#</t>
  </si>
  <si>
    <t xml:space="preserve">  26C1</t>
  </si>
  <si>
    <t xml:space="preserve">   3.95</t>
  </si>
  <si>
    <t xml:space="preserve">   4.33</t>
  </si>
  <si>
    <t xml:space="preserve">   3.93</t>
  </si>
  <si>
    <t>None</t>
  </si>
  <si>
    <t>Minor</t>
  </si>
  <si>
    <t xml:space="preserve"> 92.1</t>
  </si>
  <si>
    <t>!</t>
  </si>
  <si>
    <t>Not requested</t>
  </si>
  <si>
    <t xml:space="preserve"> ****</t>
  </si>
  <si>
    <t xml:space="preserve"> Free info</t>
  </si>
  <si>
    <t>Долги в развитых странах сейчас выше, чем до финансового кризиса. Ожидается,</t>
  </si>
  <si>
    <t>что это приведет к росту мировых процентных ставок. Многие центральные банки</t>
  </si>
  <si>
    <t>удерживают процентные ставки на низком уровне. Как долго это может</t>
  </si>
  <si>
    <t>продолжаться и как это повлияет на мировую экономику,</t>
  </si>
  <si>
    <t>если процентные ставки внезапно вырастут?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</si>
</sst>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0;\-0;;@"/>
    <numFmt numFmtId="181" formatCode="0.0"/>
    <numFmt numFmtId="182" formatCode="#"/>
    <numFmt numFmtId="183" formatCode="0;\-;;@"/>
  </numFmts>
  <fonts count="27">
    <font>
      <sz val="10"/>
      <name val="Arial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b/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start/>
      <end/>
      <top/>
      <bottom/>
      <diagonal/>
    </border>
    <border>
      <start style="thin">
        <color indexed="8"/>
      </start>
      <end/>
      <top style="thin">
        <color indexed="8"/>
      </top>
      <bottom/>
      <diagonal/>
    </border>
    <border>
      <start/>
      <end/>
      <top style="thin">
        <color indexed="8"/>
      </top>
      <bottom/>
      <diagonal/>
    </border>
    <border>
      <start/>
      <end style="thin">
        <color indexed="8"/>
      </end>
      <top style="thin">
        <color indexed="8"/>
      </top>
      <bottom/>
      <diagonal/>
    </border>
    <border>
      <start style="thin">
        <color indexed="8"/>
      </start>
      <end/>
      <top/>
      <bottom/>
      <diagonal/>
    </border>
    <border>
      <start/>
      <end style="thin">
        <color indexed="8"/>
      </end>
      <top/>
      <bottom/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/>
      <top style="thin">
        <color indexed="8"/>
      </top>
      <bottom style="thin">
        <color indexed="8"/>
      </bottom>
      <diagonal/>
    </border>
    <border>
      <start/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/>
      <top/>
      <bottom style="thin">
        <color indexed="8"/>
      </bottom>
      <diagonal/>
    </border>
    <border>
      <start/>
      <end style="thin">
        <color indexed="8"/>
      </end>
      <top/>
      <bottom style="thin">
        <color indexed="8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/>
      <diagonal/>
    </border>
    <border>
      <start style="thin">
        <color indexed="8"/>
      </start>
      <end style="thin">
        <color indexed="8"/>
      </end>
      <top/>
      <bottom/>
      <diagonal/>
    </border>
    <border>
      <start style="thin">
        <color indexed="8"/>
      </start>
      <end style="thin">
        <color indexed="8"/>
      </end>
      <top/>
      <bottom style="thin">
        <color indexed="8"/>
      </bottom>
      <diagonal/>
    </border>
    <border>
      <start/>
      <end/>
      <top/>
      <bottom style="thin">
        <color indexed="8"/>
      </bottom>
      <diagonal/>
    </border>
    <border>
      <start style="thin">
        <color indexed="8"/>
      </start>
      <end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5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Border="1"/>
    <xf numFmtId="0" fontId="6" fillId="0" borderId="0" xfId="0" applyFont="1" applyBorder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5" xfId="0" applyBorder="1"/>
    <xf numFmtId="0" fontId="4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8" fillId="0" borderId="5" xfId="0" applyFont="1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8" xfId="0" applyFont="1" applyBorder="1"/>
    <xf numFmtId="0" fontId="8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80" fontId="8" fillId="0" borderId="0" xfId="0" applyNumberFormat="1" applyFont="1" applyBorder="1" applyAlignment="1">
      <alignment horizontal="left"/>
    </xf>
    <xf numFmtId="0" fontId="8" fillId="0" borderId="1" xfId="0" applyFont="1" applyBorder="1" applyAlignment="1"/>
    <xf numFmtId="180" fontId="8" fillId="0" borderId="3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7" xfId="0" applyFont="1" applyBorder="1"/>
    <xf numFmtId="0" fontId="8" fillId="0" borderId="9" xfId="0" applyFont="1" applyBorder="1" applyAlignment="1">
      <alignment horizontal="left"/>
    </xf>
    <xf numFmtId="180" fontId="8" fillId="0" borderId="10" xfId="0" applyNumberFormat="1" applyFont="1" applyBorder="1" applyAlignment="1">
      <alignment horizontal="right"/>
    </xf>
    <xf numFmtId="180" fontId="8" fillId="0" borderId="0" xfId="0" applyNumberFormat="1" applyFont="1" applyBorder="1" applyAlignment="1">
      <alignment horizontal="right"/>
    </xf>
    <xf numFmtId="180" fontId="8" fillId="0" borderId="10" xfId="0" applyNumberFormat="1" applyFont="1" applyBorder="1" applyAlignment="1">
      <alignment horizontal="left"/>
    </xf>
    <xf numFmtId="0" fontId="8" fillId="0" borderId="9" xfId="0" applyFont="1" applyBorder="1" applyAlignment="1">
      <alignment horizontal="righ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180" fontId="8" fillId="0" borderId="3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80" fontId="8" fillId="0" borderId="3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5" xfId="0" applyFont="1" applyBorder="1" applyAlignment="1">
      <alignment horizontal="right"/>
    </xf>
    <xf numFmtId="180" fontId="8" fillId="0" borderId="5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180" fontId="8" fillId="0" borderId="5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180" fontId="8" fillId="0" borderId="10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right"/>
    </xf>
    <xf numFmtId="181" fontId="8" fillId="0" borderId="0" xfId="0" applyNumberFormat="1" applyFont="1" applyBorder="1" applyAlignment="1">
      <alignment horizontal="right"/>
    </xf>
    <xf numFmtId="0" fontId="8" fillId="0" borderId="14" xfId="0" applyFont="1" applyBorder="1"/>
    <xf numFmtId="0" fontId="8" fillId="0" borderId="2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15" xfId="0" applyFont="1" applyBorder="1"/>
    <xf numFmtId="0" fontId="8" fillId="0" borderId="0" xfId="0" applyFont="1" applyAlignment="1">
      <alignment horizontal="center"/>
    </xf>
    <xf numFmtId="180" fontId="8" fillId="0" borderId="8" xfId="0" applyNumberFormat="1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Alignment="1"/>
    <xf numFmtId="0" fontId="8" fillId="0" borderId="5" xfId="0" applyFont="1" applyBorder="1" applyAlignment="1"/>
    <xf numFmtId="180" fontId="8" fillId="0" borderId="0" xfId="0" applyNumberFormat="1" applyFont="1" applyBorder="1" applyAlignment="1"/>
    <xf numFmtId="0" fontId="8" fillId="0" borderId="2" xfId="0" applyFont="1" applyBorder="1"/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2" fontId="8" fillId="0" borderId="4" xfId="0" applyNumberFormat="1" applyFont="1" applyBorder="1" applyAlignment="1">
      <alignment horizontal="right"/>
    </xf>
    <xf numFmtId="2" fontId="8" fillId="0" borderId="0" xfId="0" applyNumberFormat="1" applyFont="1" applyBorder="1" applyAlignment="1">
      <alignment horizontal="right"/>
    </xf>
    <xf numFmtId="180" fontId="8" fillId="0" borderId="8" xfId="0" applyNumberFormat="1" applyFont="1" applyBorder="1" applyAlignment="1">
      <alignment horizontal="right"/>
    </xf>
    <xf numFmtId="180" fontId="8" fillId="0" borderId="0" xfId="0" applyNumberFormat="1" applyFont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3" xfId="0" applyFont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left"/>
    </xf>
    <xf numFmtId="180" fontId="8" fillId="0" borderId="10" xfId="0" applyNumberFormat="1" applyFont="1" applyBorder="1"/>
    <xf numFmtId="0" fontId="8" fillId="0" borderId="8" xfId="0" applyFont="1" applyBorder="1" applyAlignment="1">
      <alignment horizontal="left"/>
    </xf>
    <xf numFmtId="0" fontId="0" fillId="0" borderId="9" xfId="0" applyBorder="1"/>
    <xf numFmtId="180" fontId="8" fillId="0" borderId="14" xfId="0" applyNumberFormat="1" applyFont="1" applyBorder="1" applyAlignment="1">
      <alignment horizontal="left"/>
    </xf>
    <xf numFmtId="0" fontId="11" fillId="0" borderId="0" xfId="0" applyFont="1"/>
    <xf numFmtId="180" fontId="0" fillId="0" borderId="0" xfId="0" applyNumberFormat="1" applyBorder="1"/>
    <xf numFmtId="0" fontId="0" fillId="0" borderId="0" xfId="0" applyBorder="1" applyAlignment="1">
      <alignment horizontal="right"/>
    </xf>
    <xf numFmtId="180" fontId="0" fillId="0" borderId="0" xfId="0" applyNumberFormat="1" applyBorder="1" applyAlignment="1">
      <alignment horizontal="right"/>
    </xf>
    <xf numFmtId="0" fontId="10" fillId="0" borderId="14" xfId="0" applyFont="1" applyBorder="1"/>
    <xf numFmtId="0" fontId="10" fillId="0" borderId="0" xfId="0" applyFont="1" applyBorder="1"/>
    <xf numFmtId="0" fontId="10" fillId="0" borderId="2" xfId="0" applyFont="1" applyBorder="1"/>
    <xf numFmtId="0" fontId="10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0" fontId="12" fillId="0" borderId="0" xfId="0" applyFont="1" applyBorder="1"/>
    <xf numFmtId="0" fontId="10" fillId="0" borderId="5" xfId="0" applyFont="1" applyBorder="1"/>
    <xf numFmtId="0" fontId="10" fillId="0" borderId="2" xfId="0" applyFont="1" applyBorder="1" applyAlignment="1">
      <alignment horizontal="left"/>
    </xf>
    <xf numFmtId="0" fontId="10" fillId="0" borderId="10" xfId="0" applyFont="1" applyBorder="1"/>
    <xf numFmtId="0" fontId="13" fillId="0" borderId="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 applyBorder="1"/>
    <xf numFmtId="0" fontId="15" fillId="0" borderId="5" xfId="0" applyFont="1" applyBorder="1"/>
    <xf numFmtId="0" fontId="11" fillId="0" borderId="0" xfId="0" applyFont="1" applyBorder="1"/>
    <xf numFmtId="0" fontId="15" fillId="0" borderId="0" xfId="0" applyFont="1" applyBorder="1" applyAlignment="1">
      <alignment horizontal="center"/>
    </xf>
    <xf numFmtId="0" fontId="15" fillId="0" borderId="0" xfId="0" applyFont="1"/>
    <xf numFmtId="0" fontId="16" fillId="0" borderId="0" xfId="0" applyFont="1" applyBorder="1"/>
    <xf numFmtId="0" fontId="17" fillId="0" borderId="0" xfId="0" applyFont="1" applyBorder="1" applyAlignment="1">
      <alignment horizontal="right"/>
    </xf>
    <xf numFmtId="0" fontId="15" fillId="0" borderId="0" xfId="0" applyFont="1" applyFill="1" applyBorder="1"/>
    <xf numFmtId="0" fontId="11" fillId="0" borderId="0" xfId="0" applyFont="1" applyBorder="1" applyAlignment="1">
      <alignment horizontal="left"/>
    </xf>
    <xf numFmtId="0" fontId="17" fillId="0" borderId="0" xfId="0" applyNumberFormat="1" applyFont="1"/>
    <xf numFmtId="49" fontId="16" fillId="0" borderId="0" xfId="0" applyNumberFormat="1" applyFont="1"/>
    <xf numFmtId="0" fontId="18" fillId="0" borderId="0" xfId="0" applyFont="1"/>
    <xf numFmtId="0" fontId="19" fillId="0" borderId="0" xfId="0" applyFont="1"/>
    <xf numFmtId="0" fontId="20" fillId="0" borderId="0" xfId="0" applyFont="1" applyBorder="1"/>
    <xf numFmtId="180" fontId="10" fillId="0" borderId="0" xfId="0" applyNumberFormat="1" applyFont="1" applyBorder="1" applyAlignment="1">
      <alignment horizontal="right"/>
    </xf>
    <xf numFmtId="180" fontId="21" fillId="0" borderId="0" xfId="0" applyNumberFormat="1" applyFont="1" applyBorder="1" applyAlignment="1">
      <alignment horizontal="right"/>
    </xf>
    <xf numFmtId="0" fontId="22" fillId="0" borderId="0" xfId="0" applyFont="1" applyBorder="1"/>
    <xf numFmtId="0" fontId="8" fillId="0" borderId="1" xfId="0" applyFont="1" applyBorder="1"/>
    <xf numFmtId="0" fontId="8" fillId="0" borderId="2" xfId="0" applyFont="1" applyBorder="1" applyAlignment="1">
      <alignment horizontal="left"/>
    </xf>
    <xf numFmtId="0" fontId="8" fillId="0" borderId="4" xfId="0" applyFont="1" applyBorder="1"/>
    <xf numFmtId="0" fontId="8" fillId="0" borderId="0" xfId="0" applyFont="1" applyAlignment="1">
      <alignment horizontal="right"/>
    </xf>
    <xf numFmtId="0" fontId="8" fillId="0" borderId="0" xfId="0" applyNumberFormat="1" applyFont="1" applyBorder="1" applyAlignment="1">
      <alignment horizontal="left"/>
    </xf>
    <xf numFmtId="0" fontId="8" fillId="0" borderId="9" xfId="0" applyFont="1" applyBorder="1"/>
    <xf numFmtId="49" fontId="0" fillId="0" borderId="0" xfId="0" applyNumberFormat="1"/>
    <xf numFmtId="0" fontId="0" fillId="0" borderId="0" xfId="0" applyFont="1" applyAlignment="1">
      <alignment horizontal="right"/>
    </xf>
    <xf numFmtId="1" fontId="8" fillId="0" borderId="0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right"/>
    </xf>
    <xf numFmtId="0" fontId="21" fillId="0" borderId="0" xfId="0" applyNumberFormat="1" applyFont="1" applyBorder="1" applyAlignment="1">
      <alignment horizontal="right"/>
    </xf>
    <xf numFmtId="0" fontId="8" fillId="0" borderId="0" xfId="0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5" fillId="0" borderId="0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Border="1" applyAlignment="1"/>
    <xf numFmtId="0" fontId="24" fillId="0" borderId="0" xfId="0" applyFont="1" applyBorder="1"/>
    <xf numFmtId="0" fontId="11" fillId="0" borderId="0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NumberFormat="1" applyFont="1"/>
    <xf numFmtId="0" fontId="8" fillId="0" borderId="12" xfId="0" applyFont="1" applyBorder="1" applyAlignment="1">
      <alignment horizontal="right"/>
    </xf>
    <xf numFmtId="180" fontId="8" fillId="0" borderId="5" xfId="0" applyNumberFormat="1" applyFont="1" applyBorder="1" applyAlignment="1">
      <alignment horizontal="left"/>
    </xf>
    <xf numFmtId="0" fontId="8" fillId="0" borderId="13" xfId="0" applyFont="1" applyBorder="1" applyAlignment="1">
      <alignment horizontal="right"/>
    </xf>
    <xf numFmtId="1" fontId="8" fillId="0" borderId="0" xfId="0" applyNumberFormat="1" applyFont="1"/>
    <xf numFmtId="1" fontId="8" fillId="0" borderId="0" xfId="0" applyNumberFormat="1" applyFont="1" applyBorder="1"/>
    <xf numFmtId="0" fontId="25" fillId="0" borderId="0" xfId="0" applyFont="1" applyBorder="1" applyAlignment="1">
      <alignment horizontal="right"/>
    </xf>
    <xf numFmtId="0" fontId="25" fillId="0" borderId="0" xfId="0" applyFont="1" applyAlignment="1">
      <alignment horizontal="right"/>
    </xf>
    <xf numFmtId="182" fontId="8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8" fillId="0" borderId="12" xfId="0" applyFont="1" applyBorder="1"/>
    <xf numFmtId="181" fontId="8" fillId="0" borderId="0" xfId="0" applyNumberFormat="1" applyFont="1"/>
    <xf numFmtId="183" fontId="8" fillId="0" borderId="5" xfId="0" applyNumberFormat="1" applyFont="1" applyBorder="1" applyAlignment="1">
      <alignment horizontal="right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5" fillId="0" borderId="14" xfId="0" applyFont="1" applyBorder="1"/>
    <xf numFmtId="180" fontId="8" fillId="0" borderId="4" xfId="0" applyNumberFormat="1" applyFont="1" applyBorder="1" applyAlignment="1">
      <alignment horizontal="right"/>
    </xf>
    <xf numFmtId="0" fontId="11" fillId="0" borderId="0" xfId="0" applyFont="1" applyFill="1" applyBorder="1"/>
    <xf numFmtId="1" fontId="8" fillId="0" borderId="0" xfId="0" applyNumberFormat="1" applyFont="1" applyBorder="1" applyAlignment="1">
      <alignment horizontal="right"/>
    </xf>
    <xf numFmtId="2" fontId="8" fillId="0" borderId="0" xfId="0" applyNumberFormat="1" applyFont="1"/>
    <xf numFmtId="2" fontId="8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1" fillId="0" borderId="2" xfId="0" applyFont="1" applyBorder="1"/>
    <xf numFmtId="0" fontId="11" fillId="0" borderId="3" xfId="0" applyFont="1" applyBorder="1"/>
    <xf numFmtId="0" fontId="11" fillId="0" borderId="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4" xfId="0" applyFont="1" applyBorder="1"/>
    <xf numFmtId="0" fontId="15" fillId="0" borderId="0" xfId="0" applyFont="1" applyBorder="1" applyAlignment="1">
      <alignment horizontal="right"/>
    </xf>
    <xf numFmtId="0" fontId="11" fillId="0" borderId="5" xfId="0" applyFont="1" applyBorder="1"/>
    <xf numFmtId="0" fontId="11" fillId="0" borderId="5" xfId="0" applyFont="1" applyBorder="1" applyAlignment="1">
      <alignment horizontal="left"/>
    </xf>
    <xf numFmtId="0" fontId="11" fillId="0" borderId="0" xfId="0" applyFont="1" applyBorder="1" applyAlignment="1">
      <alignment horizontal="right"/>
    </xf>
    <xf numFmtId="0" fontId="11" fillId="0" borderId="0" xfId="0" applyNumberFormat="1" applyFont="1"/>
    <xf numFmtId="0" fontId="11" fillId="0" borderId="14" xfId="0" applyNumberFormat="1" applyFont="1" applyBorder="1"/>
    <xf numFmtId="0" fontId="11" fillId="0" borderId="14" xfId="0" applyFont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11" fillId="0" borderId="7" xfId="0" applyFont="1" applyBorder="1"/>
    <xf numFmtId="2" fontId="11" fillId="0" borderId="0" xfId="0" applyNumberFormat="1" applyFont="1"/>
    <xf numFmtId="0" fontId="11" fillId="0" borderId="5" xfId="0" applyFont="1" applyBorder="1" applyAlignment="1"/>
    <xf numFmtId="0" fontId="11" fillId="0" borderId="9" xfId="0" applyFont="1" applyBorder="1"/>
    <xf numFmtId="0" fontId="11" fillId="0" borderId="14" xfId="0" applyFont="1" applyBorder="1"/>
    <xf numFmtId="0" fontId="11" fillId="0" borderId="10" xfId="0" applyFont="1" applyBorder="1"/>
    <xf numFmtId="0" fontId="9" fillId="0" borderId="0" xfId="0" applyFont="1" applyAlignment="1">
      <alignment horizontal="center"/>
    </xf>
    <xf numFmtId="181" fontId="8" fillId="0" borderId="0" xfId="0" applyNumberFormat="1" applyFont="1" applyBorder="1" applyAlignment="1">
      <alignment horizontal="center"/>
    </xf>
    <xf numFmtId="2" fontId="8" fillId="0" borderId="0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8" fillId="0" borderId="9" xfId="0" applyNumberFormat="1" applyFont="1" applyBorder="1"/>
    <xf numFmtId="180" fontId="8" fillId="0" borderId="14" xfId="0" applyNumberFormat="1" applyFont="1" applyBorder="1"/>
    <xf numFmtId="180" fontId="8" fillId="0" borderId="2" xfId="0" applyNumberFormat="1" applyFont="1" applyBorder="1" applyAlignment="1">
      <alignment horizontal="left"/>
    </xf>
    <xf numFmtId="180" fontId="8" fillId="0" borderId="2" xfId="0" applyNumberFormat="1" applyFont="1" applyBorder="1"/>
    <xf numFmtId="0" fontId="8" fillId="0" borderId="0" xfId="0" applyNumberFormat="1" applyFont="1" applyAlignment="1">
      <alignment horizontal="right"/>
    </xf>
    <xf numFmtId="0" fontId="8" fillId="0" borderId="0" xfId="0" applyNumberFormat="1" applyFont="1" applyBorder="1"/>
    <xf numFmtId="0" fontId="8" fillId="0" borderId="14" xfId="0" applyNumberFormat="1" applyFont="1" applyBorder="1"/>
    <xf numFmtId="0" fontId="8" fillId="0" borderId="14" xfId="0" applyNumberFormat="1" applyFont="1" applyBorder="1" applyAlignment="1">
      <alignment horizontal="right"/>
    </xf>
    <xf numFmtId="0" fontId="8" fillId="0" borderId="14" xfId="0" applyNumberFormat="1" applyFont="1" applyBorder="1" applyAlignment="1">
      <alignment horizontal="left"/>
    </xf>
    <xf numFmtId="0" fontId="8" fillId="0" borderId="2" xfId="0" applyNumberFormat="1" applyFont="1" applyBorder="1"/>
    <xf numFmtId="0" fontId="8" fillId="0" borderId="2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8" fillId="0" borderId="6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connections" Target="connection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queryTables/queryTable1.xml><?xml version="1.0" encoding="utf-8"?>
<queryTable xmlns="http://purl.oclc.org/ooxml/spreadsheetml/main" name="_W20114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1"/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7.33203125" customWidth="1"/>
    <col min="21" max="21" width="1.8867187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8</v>
      </c>
      <c r="H2" s="1"/>
    </row>
    <row r="3" spans="2:25">
      <c r="B3">
        <f>W!A861</f>
        <v>153</v>
      </c>
      <c r="V3" s="2" t="s">
        <v>9</v>
      </c>
      <c r="W3" s="3" t="str">
        <f>W!A6</f>
        <v xml:space="preserve">  26C1</v>
      </c>
    </row>
    <row r="4" spans="2:25">
      <c r="B4">
        <f>W!A862</f>
        <v>1</v>
      </c>
    </row>
    <row r="5" spans="2:25" ht="17.399999999999999">
      <c r="B5">
        <f>W!A863</f>
        <v>20</v>
      </c>
      <c r="H5" s="4" t="s">
        <v>10</v>
      </c>
      <c r="J5" s="5"/>
      <c r="K5" s="5"/>
      <c r="L5" s="5">
        <f>W!$A2</f>
        <v>0</v>
      </c>
      <c r="N5" s="4" t="s">
        <v>11</v>
      </c>
      <c r="O5" s="144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1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12</v>
      </c>
      <c r="E9" s="12"/>
      <c r="F9" s="12"/>
      <c r="G9" s="140"/>
      <c r="H9" s="13" t="s">
        <v>13</v>
      </c>
      <c r="I9" s="13"/>
      <c r="J9" s="13"/>
      <c r="K9" s="12"/>
      <c r="L9" s="12"/>
      <c r="O9" s="14" t="s">
        <v>14</v>
      </c>
      <c r="P9" s="15">
        <f>W!$A4</f>
        <v>2026</v>
      </c>
      <c r="Q9" s="7"/>
      <c r="R9" s="138" t="s">
        <v>15</v>
      </c>
      <c r="S9" s="15">
        <f>W!$A5</f>
        <v>1</v>
      </c>
      <c r="T9" s="14" t="s">
        <v>1</v>
      </c>
      <c r="U9" s="14" t="s">
        <v>1</v>
      </c>
      <c r="V9" s="15" t="s">
        <v>1</v>
      </c>
      <c r="W9" s="138" t="s">
        <v>1</v>
      </c>
      <c r="X9" s="6" t="s">
        <v>1</v>
      </c>
      <c r="Y9" s="16"/>
    </row>
    <row r="10" spans="2:25" ht="11.25" customHeight="1">
      <c r="B10" s="11"/>
      <c r="E10" s="12"/>
      <c r="F10" s="12"/>
      <c r="G10" s="12"/>
      <c r="H10" s="13"/>
      <c r="I10" s="13"/>
      <c r="J10" s="13"/>
      <c r="K10" s="12"/>
      <c r="L10" s="12"/>
      <c r="O10" s="17"/>
      <c r="P10" s="6"/>
      <c r="Q10" s="7"/>
      <c r="R10" s="7"/>
      <c r="S10" s="15"/>
      <c r="X10" s="139"/>
      <c r="Y10" s="16"/>
    </row>
    <row r="11" spans="2:25" ht="12.75" customHeight="1">
      <c r="B11" s="11"/>
      <c r="C11" s="18"/>
      <c r="D11" s="18"/>
      <c r="E11" s="19"/>
      <c r="F11" s="19"/>
      <c r="G11" s="19"/>
      <c r="H11" s="19"/>
      <c r="I11" s="19"/>
      <c r="J11" s="20"/>
      <c r="K11" s="19"/>
      <c r="L11" s="19"/>
      <c r="M11" s="18"/>
      <c r="N11" s="18"/>
      <c r="O11" s="21"/>
      <c r="P11" s="22"/>
      <c r="Q11" s="18"/>
      <c r="R11" s="21"/>
      <c r="S11" s="23"/>
      <c r="T11" s="18"/>
      <c r="U11" s="18"/>
      <c r="V11" s="18"/>
      <c r="W11" s="18"/>
      <c r="X11" s="18"/>
      <c r="Y11" s="24"/>
    </row>
    <row r="12" spans="2:25">
      <c r="B12" s="11"/>
      <c r="C12" s="18"/>
      <c r="D12" s="18"/>
      <c r="E12" s="25" t="s">
        <v>16</v>
      </c>
      <c r="F12" s="26" t="s">
        <v>17</v>
      </c>
      <c r="G12" s="27">
        <v>1</v>
      </c>
      <c r="H12" s="26" t="s">
        <v>17</v>
      </c>
      <c r="I12" s="27">
        <v>2</v>
      </c>
      <c r="J12" s="26" t="s">
        <v>17</v>
      </c>
      <c r="K12" s="27">
        <v>3</v>
      </c>
      <c r="L12" s="19"/>
      <c r="M12" s="28"/>
      <c r="N12" s="28"/>
      <c r="O12" s="28"/>
      <c r="P12" s="29" t="s">
        <v>18</v>
      </c>
      <c r="Q12" s="30"/>
      <c r="R12" s="31"/>
      <c r="S12" s="18"/>
      <c r="T12" s="32" t="s">
        <v>19</v>
      </c>
      <c r="U12" s="33"/>
      <c r="V12" s="28"/>
      <c r="W12" s="29" t="s">
        <v>20</v>
      </c>
      <c r="X12" s="30"/>
      <c r="Y12" s="24"/>
    </row>
    <row r="13" spans="2:25">
      <c r="B13" s="11"/>
      <c r="C13" s="34" t="s">
        <v>300</v>
      </c>
      <c r="D13" s="19"/>
      <c r="E13" s="35"/>
      <c r="F13" s="26"/>
      <c r="G13" s="19"/>
      <c r="H13" s="26"/>
      <c r="I13" s="19"/>
      <c r="J13" s="26"/>
      <c r="K13" s="36"/>
      <c r="L13" s="19"/>
      <c r="M13" s="34" t="s">
        <v>21</v>
      </c>
      <c r="N13" s="28"/>
      <c r="O13" s="28"/>
      <c r="P13" s="37" t="s">
        <v>22</v>
      </c>
      <c r="Q13" s="38"/>
      <c r="R13" s="39"/>
      <c r="S13" s="18"/>
      <c r="T13" s="37" t="s">
        <v>310</v>
      </c>
      <c r="U13" s="40"/>
      <c r="V13" s="35"/>
      <c r="W13" s="41" t="s">
        <v>0</v>
      </c>
      <c r="X13" s="42"/>
      <c r="Y13" s="24"/>
    </row>
    <row r="14" spans="2:25">
      <c r="B14" s="11"/>
      <c r="C14" s="19"/>
      <c r="D14" s="19" t="s">
        <v>293</v>
      </c>
      <c r="E14" s="43">
        <f>W!A7</f>
        <v>30</v>
      </c>
      <c r="F14" s="44">
        <f>W!A11</f>
        <v>30</v>
      </c>
      <c r="G14" s="45"/>
      <c r="H14" s="44">
        <f>W!A14</f>
        <v>30</v>
      </c>
      <c r="I14" s="46"/>
      <c r="J14" s="44">
        <f>W!A17</f>
        <v>30</v>
      </c>
      <c r="K14" s="46"/>
      <c r="L14" s="19"/>
      <c r="M14" s="19" t="s">
        <v>294</v>
      </c>
      <c r="N14" s="19"/>
      <c r="O14" s="28"/>
      <c r="P14" s="47">
        <f>W!A61</f>
        <v>2</v>
      </c>
      <c r="Q14" s="48">
        <f>W!B61</f>
        <v>0</v>
      </c>
      <c r="R14" s="39"/>
      <c r="S14" s="18"/>
      <c r="T14" s="47">
        <f>W!A62</f>
        <v>13</v>
      </c>
      <c r="U14" s="48">
        <f>W!B62</f>
        <v>0</v>
      </c>
      <c r="V14" s="18"/>
      <c r="W14" s="47">
        <f>W!A63</f>
        <v>13</v>
      </c>
      <c r="X14" s="49"/>
      <c r="Y14" s="24"/>
    </row>
    <row r="15" spans="2:25">
      <c r="B15" s="11"/>
      <c r="C15" s="19"/>
      <c r="D15" s="19" t="s">
        <v>319</v>
      </c>
      <c r="E15" s="50">
        <f>W!A8</f>
        <v>30</v>
      </c>
      <c r="F15" s="44">
        <f>W!A12</f>
        <v>30</v>
      </c>
      <c r="G15" s="51"/>
      <c r="H15" s="44">
        <f>W!A15</f>
        <v>30</v>
      </c>
      <c r="I15" s="52"/>
      <c r="J15" s="44">
        <f>W!A18</f>
        <v>30</v>
      </c>
      <c r="K15" s="52"/>
      <c r="L15" s="19"/>
      <c r="M15" s="19" t="s">
        <v>329</v>
      </c>
      <c r="N15" s="19"/>
      <c r="O15" s="28"/>
      <c r="P15" s="41">
        <f>W!A64</f>
        <v>3</v>
      </c>
      <c r="Q15" s="38">
        <f>W!B64</f>
        <v>0</v>
      </c>
      <c r="R15" s="39"/>
      <c r="S15" s="18"/>
      <c r="T15" s="53">
        <f>W!A65</f>
        <v>13</v>
      </c>
      <c r="U15" s="54">
        <f>W!B65</f>
        <v>0</v>
      </c>
      <c r="V15" s="18"/>
      <c r="W15" s="55">
        <f>W!A66</f>
        <v>13</v>
      </c>
      <c r="X15" s="54"/>
      <c r="Y15" s="24"/>
    </row>
    <row r="16" spans="2:25">
      <c r="B16" s="11"/>
      <c r="C16" s="19"/>
      <c r="D16" s="19" t="s">
        <v>23</v>
      </c>
      <c r="E16" s="56">
        <f>W!A9</f>
        <v>30</v>
      </c>
      <c r="F16" s="57">
        <f>W!A13</f>
        <v>30</v>
      </c>
      <c r="G16" s="58"/>
      <c r="H16" s="57">
        <f>W!A16</f>
        <v>30</v>
      </c>
      <c r="I16" s="38"/>
      <c r="J16" s="57">
        <f>W!A19</f>
        <v>30</v>
      </c>
      <c r="K16" s="38"/>
      <c r="L16" s="19"/>
      <c r="M16" s="19" t="s">
        <v>24</v>
      </c>
      <c r="N16" s="19"/>
      <c r="O16" s="28"/>
      <c r="P16" s="35"/>
      <c r="Q16" s="28"/>
      <c r="R16" s="28"/>
      <c r="S16" s="18"/>
      <c r="T16" s="41">
        <f>W!A68</f>
        <v>11</v>
      </c>
      <c r="U16" s="59">
        <f>W!B68</f>
        <v>0</v>
      </c>
      <c r="V16" s="18"/>
      <c r="W16" s="60">
        <f>W!A69</f>
        <v>11</v>
      </c>
      <c r="X16" s="59"/>
      <c r="Y16" s="24"/>
    </row>
    <row r="17" spans="2:25">
      <c r="B17" s="11"/>
      <c r="C17" s="19"/>
      <c r="D17" s="19"/>
      <c r="E17" s="44"/>
      <c r="F17" s="44"/>
      <c r="G17" s="39"/>
      <c r="H17" s="44"/>
      <c r="I17" s="39"/>
      <c r="J17" s="44"/>
      <c r="K17" s="39"/>
      <c r="L17" s="19"/>
      <c r="M17" s="28"/>
      <c r="N17" s="28"/>
      <c r="O17" s="28"/>
      <c r="P17" s="35"/>
      <c r="Q17" s="28"/>
      <c r="R17" s="28"/>
      <c r="S17" s="18"/>
      <c r="T17" s="44"/>
      <c r="U17" s="39"/>
      <c r="V17" s="18"/>
      <c r="W17" s="61"/>
      <c r="X17" s="39"/>
      <c r="Y17" s="24"/>
    </row>
    <row r="18" spans="2:25">
      <c r="B18" s="11"/>
      <c r="C18" s="34" t="s">
        <v>301</v>
      </c>
      <c r="D18" s="18"/>
      <c r="E18" s="18"/>
      <c r="F18" s="18"/>
      <c r="G18" s="62"/>
      <c r="H18" s="18"/>
      <c r="I18" s="18"/>
      <c r="J18" s="18"/>
      <c r="K18" s="18"/>
      <c r="L18" s="19"/>
      <c r="M18" s="22" t="s">
        <v>25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39"/>
      <c r="Y18" s="24"/>
    </row>
    <row r="19" spans="2:25">
      <c r="B19" s="11"/>
      <c r="C19" s="18"/>
      <c r="D19" s="19" t="s">
        <v>293</v>
      </c>
      <c r="E19" s="19"/>
      <c r="F19" s="47">
        <f>W!A21</f>
        <v>360</v>
      </c>
      <c r="G19" s="54">
        <f>W!B21</f>
        <v>0</v>
      </c>
      <c r="H19" s="63">
        <f>W!A24</f>
        <v>610</v>
      </c>
      <c r="I19" s="48">
        <f>W!B24</f>
        <v>0</v>
      </c>
      <c r="J19" s="63">
        <f>W!A27</f>
        <v>850</v>
      </c>
      <c r="K19" s="48">
        <f>W!B27</f>
        <v>0</v>
      </c>
      <c r="L19" s="19"/>
      <c r="M19" s="116" t="s">
        <v>26</v>
      </c>
      <c r="N19" s="28"/>
      <c r="O19" s="145" t="s">
        <v>27</v>
      </c>
      <c r="P19" s="64">
        <f>W!A57</f>
        <v>0</v>
      </c>
      <c r="Q19" s="65"/>
      <c r="R19" s="28"/>
      <c r="S19" s="146" t="s">
        <v>28</v>
      </c>
      <c r="T19" s="67">
        <f>W!A58</f>
        <v>0</v>
      </c>
      <c r="U19" s="65"/>
      <c r="V19" s="137" t="s">
        <v>29</v>
      </c>
      <c r="W19" s="64">
        <f>W!A59</f>
        <v>0</v>
      </c>
      <c r="X19" s="69"/>
      <c r="Y19" s="24"/>
    </row>
    <row r="20" spans="2:25">
      <c r="B20" s="11"/>
      <c r="C20" s="19"/>
      <c r="D20" s="19" t="s">
        <v>319</v>
      </c>
      <c r="E20" s="19"/>
      <c r="F20" s="53">
        <f>W!A22</f>
        <v>360</v>
      </c>
      <c r="G20" s="54">
        <f>W!B22</f>
        <v>0</v>
      </c>
      <c r="H20" s="44">
        <f>W!A25</f>
        <v>610</v>
      </c>
      <c r="I20" s="54">
        <f>W!B25</f>
        <v>0</v>
      </c>
      <c r="J20" s="44">
        <f>W!A28</f>
        <v>850</v>
      </c>
      <c r="K20" s="54">
        <f>W!B28</f>
        <v>0</v>
      </c>
      <c r="L20" s="19"/>
      <c r="M20" s="147" t="s">
        <v>30</v>
      </c>
      <c r="N20" s="71"/>
      <c r="O20" s="70"/>
      <c r="P20" s="53">
        <f>W!A75</f>
        <v>25</v>
      </c>
      <c r="Q20" s="72"/>
      <c r="R20" s="70"/>
      <c r="S20" s="116" t="s">
        <v>31</v>
      </c>
      <c r="T20" s="73"/>
      <c r="U20" s="74"/>
      <c r="V20" s="73"/>
      <c r="W20" s="53">
        <f>W!A76</f>
        <v>2</v>
      </c>
      <c r="X20" s="49"/>
      <c r="Y20" s="24"/>
    </row>
    <row r="21" spans="2:25">
      <c r="B21" s="11"/>
      <c r="C21" s="19"/>
      <c r="D21" s="19" t="s">
        <v>23</v>
      </c>
      <c r="E21" s="19"/>
      <c r="F21" s="41">
        <f>W!A23</f>
        <v>340</v>
      </c>
      <c r="G21" s="59">
        <f>W!B23</f>
        <v>0</v>
      </c>
      <c r="H21" s="57">
        <f>W!A26</f>
        <v>520</v>
      </c>
      <c r="I21" s="59">
        <f>W!B26</f>
        <v>0</v>
      </c>
      <c r="J21" s="57">
        <f>W!A29</f>
        <v>740</v>
      </c>
      <c r="K21" s="59">
        <f>W!B29</f>
        <v>0</v>
      </c>
      <c r="L21" s="19"/>
      <c r="M21" s="116" t="s">
        <v>32</v>
      </c>
      <c r="N21" s="18"/>
      <c r="O21" s="28"/>
      <c r="P21" s="41">
        <f>W!A77</f>
        <v>10</v>
      </c>
      <c r="Q21" s="75"/>
      <c r="R21" s="44"/>
      <c r="S21" s="116" t="s">
        <v>311</v>
      </c>
      <c r="T21" s="28"/>
      <c r="U21" s="28"/>
      <c r="V21" s="28"/>
      <c r="W21" s="41">
        <f>W!A78</f>
        <v>30</v>
      </c>
      <c r="X21" s="76"/>
      <c r="Y21" s="24"/>
    </row>
    <row r="22" spans="2:25">
      <c r="B22" s="11"/>
      <c r="C22" s="19"/>
      <c r="D22" s="19"/>
      <c r="E22" s="19"/>
      <c r="F22" s="18"/>
      <c r="G22" s="19"/>
      <c r="H22" s="19"/>
      <c r="I22" s="19"/>
      <c r="J22" s="19"/>
      <c r="K22" s="19"/>
      <c r="L22" s="19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4"/>
    </row>
    <row r="23" spans="2:25">
      <c r="B23" s="11"/>
      <c r="C23" s="34" t="s">
        <v>33</v>
      </c>
      <c r="D23" s="19"/>
      <c r="E23" s="19"/>
      <c r="F23" s="18"/>
      <c r="G23" s="18"/>
      <c r="H23" s="18"/>
      <c r="I23" s="18"/>
      <c r="J23" s="18"/>
      <c r="K23" s="18"/>
      <c r="L23" s="19"/>
      <c r="M23" s="34" t="s">
        <v>34</v>
      </c>
      <c r="N23" s="18"/>
      <c r="O23" s="28"/>
      <c r="P23" s="18"/>
      <c r="Q23" s="57"/>
      <c r="R23" s="44"/>
      <c r="S23" s="18"/>
      <c r="T23" s="28"/>
      <c r="U23" s="28"/>
      <c r="V23" s="28"/>
      <c r="W23" s="44"/>
      <c r="X23" s="39"/>
      <c r="Y23" s="24"/>
    </row>
    <row r="24" spans="2:25">
      <c r="B24" s="11"/>
      <c r="C24" s="19" t="s">
        <v>294</v>
      </c>
      <c r="D24" s="19"/>
      <c r="E24" s="19"/>
      <c r="F24" s="47">
        <f>W!A31</f>
        <v>700</v>
      </c>
      <c r="G24" s="48">
        <f>W!B31</f>
        <v>0</v>
      </c>
      <c r="H24" s="63">
        <f>W!A34</f>
        <v>400</v>
      </c>
      <c r="I24" s="48">
        <f>W!B34</f>
        <v>0</v>
      </c>
      <c r="J24" s="63">
        <f>W!A37</f>
        <v>220</v>
      </c>
      <c r="K24" s="48">
        <f>W!B37</f>
        <v>0</v>
      </c>
      <c r="L24" s="19"/>
      <c r="M24" s="116" t="s">
        <v>35</v>
      </c>
      <c r="N24" s="28"/>
      <c r="O24" s="28"/>
      <c r="P24" s="47">
        <f>W!A81</f>
        <v>0</v>
      </c>
      <c r="Q24" s="54">
        <f>W!B81</f>
        <v>0</v>
      </c>
      <c r="R24" s="44"/>
      <c r="S24" s="116" t="s">
        <v>36</v>
      </c>
      <c r="T24" s="28"/>
      <c r="U24" s="28"/>
      <c r="V24" s="28"/>
      <c r="W24" s="64">
        <f>W!A82</f>
        <v>0</v>
      </c>
      <c r="X24" s="69">
        <f>W!B82</f>
        <v>0</v>
      </c>
      <c r="Y24" s="24"/>
    </row>
    <row r="25" spans="2:25">
      <c r="B25" s="11"/>
      <c r="C25" s="19" t="s">
        <v>329</v>
      </c>
      <c r="D25" s="19"/>
      <c r="E25" s="19"/>
      <c r="F25" s="53">
        <f>W!A32</f>
        <v>925</v>
      </c>
      <c r="G25" s="54">
        <f>W!B32</f>
        <v>0</v>
      </c>
      <c r="H25" s="44">
        <f>W!A35</f>
        <v>475</v>
      </c>
      <c r="I25" s="54">
        <f>W!B35</f>
        <v>0</v>
      </c>
      <c r="J25" s="44">
        <f>W!A38</f>
        <v>250</v>
      </c>
      <c r="K25" s="54">
        <f>W!B38</f>
        <v>0</v>
      </c>
      <c r="L25" s="19"/>
      <c r="M25" s="116" t="s">
        <v>37</v>
      </c>
      <c r="N25" s="28"/>
      <c r="O25" s="28"/>
      <c r="P25" s="77">
        <f>W!A83/100</f>
        <v>10</v>
      </c>
      <c r="Q25" s="54">
        <f>W!B83</f>
        <v>0</v>
      </c>
      <c r="R25" s="44"/>
      <c r="S25" s="18"/>
      <c r="T25" s="28"/>
      <c r="U25" s="28"/>
      <c r="V25" s="28"/>
      <c r="W25" s="44"/>
      <c r="X25" s="31"/>
      <c r="Y25" s="24"/>
    </row>
    <row r="26" spans="2:25">
      <c r="B26" s="11"/>
      <c r="C26" s="19" t="s">
        <v>24</v>
      </c>
      <c r="D26" s="19"/>
      <c r="E26" s="19"/>
      <c r="F26" s="41">
        <f>W!A33</f>
        <v>1000</v>
      </c>
      <c r="G26" s="59">
        <f>W!B33</f>
        <v>0</v>
      </c>
      <c r="H26" s="57">
        <f>W!A36</f>
        <v>600</v>
      </c>
      <c r="I26" s="59">
        <f>W!B36</f>
        <v>0</v>
      </c>
      <c r="J26" s="41">
        <f>W!A39</f>
        <v>250</v>
      </c>
      <c r="K26" s="59">
        <f>W!B39</f>
        <v>0</v>
      </c>
      <c r="L26" s="19"/>
      <c r="M26" s="116" t="s">
        <v>312</v>
      </c>
      <c r="N26" s="28"/>
      <c r="O26" s="28"/>
      <c r="P26" s="41">
        <f>W!A85</f>
        <v>115</v>
      </c>
      <c r="Q26" s="59">
        <f>W!B85</f>
        <v>0</v>
      </c>
      <c r="R26" s="78"/>
      <c r="S26" s="116" t="s">
        <v>38</v>
      </c>
      <c r="T26" s="18"/>
      <c r="U26" s="28"/>
      <c r="V26" s="28"/>
      <c r="W26" s="64">
        <f>W!A86</f>
        <v>0</v>
      </c>
      <c r="X26" s="79">
        <f>W!B86</f>
        <v>0</v>
      </c>
      <c r="Y26" s="24"/>
    </row>
    <row r="27" spans="2:25">
      <c r="B27" s="11"/>
      <c r="C27" s="19"/>
      <c r="D27" s="148" t="s">
        <v>39</v>
      </c>
      <c r="E27" s="19"/>
      <c r="F27" s="18"/>
      <c r="G27" s="80"/>
      <c r="H27" s="44"/>
      <c r="I27" s="39"/>
      <c r="J27" s="44"/>
      <c r="K27" s="80"/>
      <c r="L27" s="19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39"/>
      <c r="Y27" s="24"/>
    </row>
    <row r="28" spans="2:25">
      <c r="B28" s="11"/>
      <c r="C28" s="81" t="s">
        <v>40</v>
      </c>
      <c r="D28" s="18"/>
      <c r="E28" s="18"/>
      <c r="F28" s="18"/>
      <c r="G28" s="18"/>
      <c r="H28" s="18"/>
      <c r="I28" s="18"/>
      <c r="J28" s="18"/>
      <c r="K28" s="18"/>
      <c r="L28" s="19"/>
      <c r="M28" s="82" t="s">
        <v>41</v>
      </c>
      <c r="N28" s="18"/>
      <c r="O28" s="18"/>
      <c r="P28" s="18"/>
      <c r="Q28" s="83"/>
      <c r="R28" s="28"/>
      <c r="S28" s="18"/>
      <c r="T28" s="28"/>
      <c r="U28" s="28"/>
      <c r="V28" s="28"/>
      <c r="W28" s="28"/>
      <c r="X28" s="31"/>
      <c r="Y28" s="24"/>
    </row>
    <row r="29" spans="2:25">
      <c r="B29" s="11"/>
      <c r="C29" s="19" t="s">
        <v>42</v>
      </c>
      <c r="D29" s="19"/>
      <c r="E29" s="44"/>
      <c r="F29" s="47">
        <f>W!A41</f>
        <v>0</v>
      </c>
      <c r="G29" s="46"/>
      <c r="H29" s="63">
        <f>W!A42</f>
        <v>0</v>
      </c>
      <c r="I29" s="46"/>
      <c r="J29" s="63">
        <f>W!A43</f>
        <v>0</v>
      </c>
      <c r="K29" s="84"/>
      <c r="L29" s="19"/>
      <c r="M29" s="116" t="s">
        <v>43</v>
      </c>
      <c r="N29" s="28"/>
      <c r="O29" s="28"/>
      <c r="P29" s="47">
        <f>W!A91</f>
        <v>0</v>
      </c>
      <c r="Q29" s="54">
        <f>W!B91</f>
        <v>0</v>
      </c>
      <c r="R29" s="44"/>
      <c r="S29" s="116" t="s">
        <v>44</v>
      </c>
      <c r="T29" s="28"/>
      <c r="U29" s="28"/>
      <c r="V29" s="28"/>
      <c r="W29" s="47">
        <f>W!A92</f>
        <v>0</v>
      </c>
      <c r="X29" s="48">
        <f>W!B92</f>
        <v>0</v>
      </c>
      <c r="Y29" s="24"/>
    </row>
    <row r="30" spans="2:25">
      <c r="B30" s="11"/>
      <c r="C30" s="19" t="s">
        <v>302</v>
      </c>
      <c r="D30" s="19"/>
      <c r="E30" s="44"/>
      <c r="F30" s="53">
        <f>W!A44</f>
        <v>30</v>
      </c>
      <c r="G30" s="52"/>
      <c r="H30" s="44">
        <f>W!A45</f>
        <v>30</v>
      </c>
      <c r="I30" s="52"/>
      <c r="J30" s="44">
        <f>W!A46</f>
        <v>30</v>
      </c>
      <c r="K30" s="24"/>
      <c r="L30" s="19"/>
      <c r="M30" s="116" t="s">
        <v>313</v>
      </c>
      <c r="N30" s="28"/>
      <c r="O30" s="28"/>
      <c r="P30" s="53">
        <f>W!A93</f>
        <v>0</v>
      </c>
      <c r="Q30" s="54">
        <f>W!B93</f>
        <v>0</v>
      </c>
      <c r="R30" s="44"/>
      <c r="S30" s="91" t="s">
        <v>314</v>
      </c>
      <c r="T30" s="28"/>
      <c r="U30" s="28"/>
      <c r="V30" s="28"/>
      <c r="W30" s="53">
        <f>W!A94</f>
        <v>0</v>
      </c>
      <c r="X30" s="54">
        <f>W!B94</f>
        <v>0</v>
      </c>
      <c r="Y30" s="24"/>
    </row>
    <row r="31" spans="2:25">
      <c r="B31" s="11"/>
      <c r="C31" s="19" t="s">
        <v>45</v>
      </c>
      <c r="D31" s="18"/>
      <c r="E31" s="18"/>
      <c r="F31" s="53">
        <f>W!A47</f>
        <v>115</v>
      </c>
      <c r="G31" s="49"/>
      <c r="H31" s="53">
        <f>W!A48</f>
        <v>165</v>
      </c>
      <c r="I31" s="49"/>
      <c r="J31" s="53">
        <f>W!A49</f>
        <v>325</v>
      </c>
      <c r="K31" s="49"/>
      <c r="L31" s="19"/>
      <c r="M31" s="116" t="s">
        <v>46</v>
      </c>
      <c r="N31" s="28"/>
      <c r="O31" s="28"/>
      <c r="P31" s="53">
        <f>W!A73</f>
        <v>0</v>
      </c>
      <c r="Q31" s="54">
        <f>W!B73</f>
        <v>0</v>
      </c>
      <c r="R31" s="44"/>
      <c r="S31" s="116" t="s">
        <v>47</v>
      </c>
      <c r="T31" s="28"/>
      <c r="U31" s="28"/>
      <c r="V31" s="28"/>
      <c r="W31" s="53">
        <f>W!A74</f>
        <v>0</v>
      </c>
      <c r="X31" s="54">
        <f>W!B74</f>
        <v>0</v>
      </c>
      <c r="Y31" s="24"/>
    </row>
    <row r="32" spans="2:25">
      <c r="B32" s="11"/>
      <c r="C32" s="85" t="s">
        <v>48</v>
      </c>
      <c r="D32" s="19"/>
      <c r="E32" s="44"/>
      <c r="F32" s="41">
        <f>W!A51</f>
        <v>0</v>
      </c>
      <c r="G32" s="59">
        <f>W!B51</f>
        <v>0</v>
      </c>
      <c r="H32" s="57">
        <f>W!A52</f>
        <v>0</v>
      </c>
      <c r="I32" s="59">
        <f>W!B52</f>
        <v>0</v>
      </c>
      <c r="J32" s="57">
        <f>W!A53</f>
        <v>0</v>
      </c>
      <c r="K32" s="59">
        <f>W!B53</f>
        <v>0</v>
      </c>
      <c r="L32" s="19"/>
      <c r="M32" s="149" t="s">
        <v>49</v>
      </c>
      <c r="N32" s="28"/>
      <c r="O32" s="28"/>
      <c r="P32" s="41">
        <f>W!A72</f>
        <v>0</v>
      </c>
      <c r="Q32" s="59">
        <f>W!B72</f>
        <v>0</v>
      </c>
      <c r="R32" s="44"/>
      <c r="S32" s="116" t="s">
        <v>50</v>
      </c>
      <c r="T32" s="28"/>
      <c r="U32" s="28"/>
      <c r="V32" s="28"/>
      <c r="W32" s="41">
        <f>W!A99</f>
        <v>2</v>
      </c>
      <c r="X32" s="38"/>
      <c r="Y32" s="24"/>
    </row>
    <row r="33" spans="2:25">
      <c r="B33" s="11"/>
      <c r="C33" s="18"/>
      <c r="D33" s="18"/>
      <c r="E33" s="18"/>
      <c r="F33" s="18"/>
      <c r="G33" s="18"/>
      <c r="H33" s="18"/>
      <c r="I33" s="18"/>
      <c r="J33" s="18"/>
      <c r="K33" s="18"/>
      <c r="L33" s="19"/>
      <c r="M33" s="28"/>
      <c r="N33" s="28"/>
      <c r="O33" s="28"/>
      <c r="P33" s="44"/>
      <c r="Q33" s="44"/>
      <c r="R33" s="44"/>
      <c r="S33" s="28"/>
      <c r="T33" s="28"/>
      <c r="U33" s="28"/>
      <c r="V33" s="28"/>
      <c r="W33" s="18"/>
      <c r="X33" s="28"/>
      <c r="Y33" s="24"/>
    </row>
    <row r="34" spans="2:25">
      <c r="B34" s="11"/>
      <c r="C34" s="22" t="s">
        <v>51</v>
      </c>
      <c r="D34" s="18"/>
      <c r="E34" s="18"/>
      <c r="F34" s="18"/>
      <c r="G34" s="62"/>
      <c r="H34" s="18"/>
      <c r="I34" s="62"/>
      <c r="J34" s="18"/>
      <c r="K34" s="62"/>
      <c r="L34" s="19"/>
      <c r="M34" s="34" t="s">
        <v>52</v>
      </c>
      <c r="N34" s="28"/>
      <c r="O34" s="28"/>
      <c r="P34" s="44"/>
      <c r="Q34" s="44"/>
      <c r="R34" s="44"/>
      <c r="S34" s="28"/>
      <c r="T34" s="28"/>
      <c r="U34" s="28"/>
      <c r="V34" s="28"/>
      <c r="W34" s="18"/>
      <c r="X34" s="28"/>
      <c r="Y34" s="24"/>
    </row>
    <row r="35" spans="2:25">
      <c r="B35" s="11"/>
      <c r="C35" s="28" t="s">
        <v>53</v>
      </c>
      <c r="D35" s="18"/>
      <c r="E35" s="18"/>
      <c r="F35" s="67">
        <f>W!A54</f>
        <v>0</v>
      </c>
      <c r="G35" s="87">
        <f>W!B54</f>
        <v>0</v>
      </c>
      <c r="H35" s="36">
        <f>W!A55</f>
        <v>0</v>
      </c>
      <c r="I35" s="87">
        <f>W!B55</f>
        <v>0</v>
      </c>
      <c r="J35" s="36">
        <f>W!A56</f>
        <v>0</v>
      </c>
      <c r="K35" s="87">
        <f>W!B56</f>
        <v>0</v>
      </c>
      <c r="L35" s="19"/>
      <c r="M35" s="28" t="s">
        <v>54</v>
      </c>
      <c r="N35" s="28"/>
      <c r="O35" s="28"/>
      <c r="P35" s="64">
        <f>W!A97</f>
        <v>0</v>
      </c>
      <c r="Q35" s="88"/>
      <c r="R35" s="28"/>
      <c r="S35" s="28" t="s">
        <v>55</v>
      </c>
      <c r="T35" s="28"/>
      <c r="U35" s="28"/>
      <c r="V35" s="28"/>
      <c r="W35" s="64">
        <f>W!A98</f>
        <v>1</v>
      </c>
      <c r="X35" s="88"/>
      <c r="Y35" s="24"/>
    </row>
    <row r="36" spans="2:25">
      <c r="B36" s="89"/>
      <c r="C36" s="83"/>
      <c r="D36" s="83"/>
      <c r="E36" s="83"/>
      <c r="F36" s="83"/>
      <c r="G36" s="90"/>
      <c r="H36" s="83"/>
      <c r="I36" s="90"/>
      <c r="J36" s="83"/>
      <c r="K36" s="83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76"/>
    </row>
    <row r="37" spans="2:25">
      <c r="C37" s="91" t="s">
        <v>7</v>
      </c>
      <c r="L37" s="12"/>
      <c r="Y37" s="12"/>
    </row>
    <row r="38" spans="2:25">
      <c r="E38" s="12"/>
      <c r="L38" s="12"/>
      <c r="M38" s="137" t="s">
        <v>4</v>
      </c>
      <c r="Y38" s="12"/>
    </row>
    <row r="39" spans="2:25">
      <c r="L39" s="12"/>
    </row>
    <row r="40" spans="2:25">
      <c r="L40" s="12"/>
      <c r="M40" t="s">
        <v>1</v>
      </c>
    </row>
    <row r="41" spans="2:25">
      <c r="B41" s="12"/>
      <c r="C41" s="12"/>
      <c r="D41" s="12"/>
      <c r="E41" s="12"/>
      <c r="F41" s="12"/>
      <c r="G41" s="92"/>
      <c r="H41" s="93"/>
      <c r="I41" s="94"/>
      <c r="J41" s="93"/>
      <c r="K41" s="92"/>
      <c r="L41" s="12"/>
    </row>
    <row r="42" spans="2:25">
      <c r="F42" s="12"/>
      <c r="G42" s="12"/>
      <c r="H42" s="12"/>
      <c r="I42" s="12"/>
      <c r="J42" s="12"/>
      <c r="K42" s="12"/>
      <c r="L42" s="12"/>
    </row>
    <row r="43" spans="2:25">
      <c r="K43" s="12"/>
      <c r="L43" s="12"/>
    </row>
    <row r="44" spans="2:25">
      <c r="K44" s="12"/>
      <c r="L44" s="12"/>
    </row>
    <row r="45" spans="2:25">
      <c r="K45" s="12"/>
      <c r="L45" s="12"/>
    </row>
    <row r="46" spans="2:25">
      <c r="K46" s="12"/>
      <c r="L46" s="12"/>
    </row>
    <row r="47" spans="2:25">
      <c r="K47" s="12"/>
      <c r="L47" s="12"/>
      <c r="M47" t="s">
        <v>1</v>
      </c>
    </row>
    <row r="48" spans="2:25">
      <c r="K48" s="12"/>
      <c r="L48" s="12"/>
    </row>
    <row r="49" spans="2:12">
      <c r="K49" s="12"/>
      <c r="L49" s="12"/>
    </row>
    <row r="50" spans="2:12">
      <c r="B50" s="12"/>
      <c r="C50" s="12"/>
      <c r="D50" s="12"/>
      <c r="E50" s="93"/>
      <c r="F50" s="93"/>
      <c r="G50" s="94"/>
      <c r="H50" s="93"/>
      <c r="I50" s="94"/>
      <c r="J50" s="93"/>
      <c r="K50" s="92"/>
      <c r="L50" s="12"/>
    </row>
    <row r="51" spans="2:12">
      <c r="K51" s="94"/>
      <c r="L51" s="12"/>
    </row>
    <row r="52" spans="2:12">
      <c r="K52" s="94"/>
      <c r="L52" s="12"/>
    </row>
    <row r="53" spans="2:12">
      <c r="K53" s="94"/>
      <c r="L53" s="12"/>
    </row>
    <row r="54" spans="2:12">
      <c r="B54" s="12"/>
      <c r="C54" s="12"/>
      <c r="D54" s="12"/>
      <c r="E54" s="93"/>
      <c r="F54" s="93"/>
      <c r="G54" s="94"/>
      <c r="H54" s="93"/>
      <c r="I54" s="94"/>
      <c r="J54" s="93"/>
      <c r="K54" s="94"/>
    </row>
    <row r="55" spans="2:12">
      <c r="B55" s="12"/>
      <c r="C55" s="12"/>
      <c r="D55" s="12"/>
      <c r="E55" s="93"/>
      <c r="F55" s="93"/>
      <c r="G55" s="94"/>
      <c r="H55" s="93"/>
      <c r="I55" s="94"/>
      <c r="K55" s="92"/>
    </row>
  </sheetData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2">
    <pageSetUpPr fitToPage="1"/>
  </sheetPr>
  <dimension ref="A1:AL65"/>
  <sheetViews>
    <sheetView showGridLines="0" workbookViewId="0">
      <selection activeCell="N36" sqref="N36"/>
    </sheetView>
  </sheetViews>
  <sheetFormatPr defaultColWidth="9.109375" defaultRowHeight="11.4"/>
  <cols>
    <col min="1" max="1" width="1.6640625" style="18" customWidth="1"/>
    <col min="2" max="2" width="1.33203125" style="18" customWidth="1"/>
    <col min="3" max="5" width="8.33203125" style="18" customWidth="1"/>
    <col min="6" max="6" width="6.88671875" style="18" customWidth="1"/>
    <col min="7" max="7" width="8.6640625" style="18" customWidth="1"/>
    <col min="8" max="8" width="1.88671875" style="18" customWidth="1"/>
    <col min="9" max="9" width="1.6640625" style="18" customWidth="1"/>
    <col min="10" max="10" width="1.33203125" style="18" customWidth="1"/>
    <col min="11" max="11" width="8.6640625" style="18" customWidth="1"/>
    <col min="12" max="12" width="10" style="18" customWidth="1"/>
    <col min="13" max="13" width="8.33203125" style="18" customWidth="1"/>
    <col min="14" max="14" width="8.44140625" style="18" customWidth="1"/>
    <col min="15" max="15" width="8.5546875" style="18" customWidth="1"/>
    <col min="16" max="16" width="1.33203125" style="18" customWidth="1"/>
    <col min="17" max="17" width="2.5546875" style="18" customWidth="1"/>
    <col min="18" max="18" width="1.33203125" style="18" customWidth="1"/>
    <col min="19" max="19" width="9.33203125" style="18" customWidth="1"/>
    <col min="20" max="20" width="11.44140625" style="18" customWidth="1"/>
    <col min="21" max="21" width="7.33203125" style="18" customWidth="1"/>
    <col min="22" max="22" width="1.88671875" style="18" customWidth="1"/>
    <col min="23" max="23" width="7.33203125" style="18" customWidth="1"/>
    <col min="24" max="24" width="2" style="18" customWidth="1"/>
    <col min="25" max="25" width="7.33203125" style="18" customWidth="1"/>
    <col min="26" max="26" width="1.44140625" style="18" customWidth="1"/>
    <col min="27" max="27" width="1" style="18" customWidth="1"/>
    <col min="28" max="28" width="9.109375" style="18"/>
    <col min="29" max="29" width="1.6640625" style="18" customWidth="1"/>
    <col min="30" max="30" width="9.109375" style="18"/>
    <col min="31" max="31" width="9.88671875" style="18" customWidth="1"/>
    <col min="32" max="32" width="9.109375" style="18"/>
    <col min="33" max="33" width="1.5546875" style="18" customWidth="1"/>
    <col min="34" max="34" width="9.109375" style="18"/>
    <col min="35" max="35" width="1.5546875" style="18" customWidth="1"/>
    <col min="36" max="16384" width="9.109375" style="18"/>
  </cols>
  <sheetData>
    <row r="1" spans="2:38" ht="15.6">
      <c r="D1" s="14" t="s">
        <v>11</v>
      </c>
      <c r="E1" s="15">
        <f>W!A1</f>
        <v>0</v>
      </c>
      <c r="F1" s="141" t="s">
        <v>56</v>
      </c>
      <c r="H1" s="15">
        <f>W!A2</f>
        <v>0</v>
      </c>
      <c r="M1" s="142" t="s">
        <v>57</v>
      </c>
      <c r="T1" s="14" t="s">
        <v>14</v>
      </c>
      <c r="U1" s="15">
        <f>W!A4</f>
        <v>2026</v>
      </c>
      <c r="V1" s="7"/>
      <c r="W1" s="138" t="s">
        <v>15</v>
      </c>
      <c r="X1" s="15">
        <f>W!A5</f>
        <v>1</v>
      </c>
    </row>
    <row r="2" spans="2:38" ht="12" customHeight="1">
      <c r="B2" s="62"/>
      <c r="C2" s="62"/>
      <c r="D2" s="62"/>
      <c r="E2" s="62"/>
      <c r="F2" s="62"/>
      <c r="G2" s="62"/>
      <c r="H2" s="62"/>
      <c r="I2" s="19"/>
      <c r="J2" s="62"/>
      <c r="K2" s="62"/>
      <c r="L2" s="62"/>
      <c r="M2" s="62"/>
      <c r="N2" s="62"/>
      <c r="O2" s="62"/>
    </row>
    <row r="3" spans="2:38" ht="6.75" customHeight="1">
      <c r="B3" s="125"/>
      <c r="D3" s="19"/>
      <c r="E3" s="19"/>
      <c r="F3" s="19"/>
      <c r="G3" s="19"/>
      <c r="H3" s="84"/>
      <c r="I3" s="19"/>
      <c r="J3" s="125"/>
      <c r="P3" s="84"/>
      <c r="R3" s="125"/>
      <c r="S3" s="74"/>
      <c r="T3" s="84"/>
      <c r="U3" s="74"/>
      <c r="V3" s="84"/>
      <c r="W3" s="74"/>
      <c r="X3" s="84"/>
      <c r="Y3" s="74"/>
      <c r="Z3" s="74"/>
      <c r="AA3" s="84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2:38" ht="12">
      <c r="B4" s="127"/>
      <c r="C4" s="34" t="s">
        <v>58</v>
      </c>
      <c r="D4" s="19"/>
      <c r="E4" s="19"/>
      <c r="F4" s="19"/>
      <c r="G4" s="19"/>
      <c r="H4" s="24"/>
      <c r="I4" s="19"/>
      <c r="J4" s="127"/>
      <c r="K4" s="22" t="s">
        <v>59</v>
      </c>
      <c r="P4" s="24"/>
      <c r="R4" s="130"/>
      <c r="S4" s="95" t="s">
        <v>60</v>
      </c>
      <c r="T4" s="62"/>
      <c r="U4" s="150" t="s">
        <v>61</v>
      </c>
      <c r="V4" s="83"/>
      <c r="W4" s="150" t="s">
        <v>62</v>
      </c>
      <c r="X4" s="151"/>
      <c r="Y4" s="150" t="s">
        <v>63</v>
      </c>
      <c r="Z4" s="83"/>
      <c r="AA4" s="76"/>
      <c r="AC4" s="19"/>
      <c r="AD4" s="96"/>
      <c r="AE4" s="19"/>
      <c r="AF4" s="28"/>
      <c r="AG4" s="28"/>
      <c r="AH4" s="28"/>
      <c r="AI4" s="28"/>
      <c r="AJ4" s="28"/>
      <c r="AK4" s="28"/>
      <c r="AL4" s="19"/>
    </row>
    <row r="5" spans="2:38" ht="12">
      <c r="B5" s="127"/>
      <c r="C5" s="34"/>
      <c r="D5" s="19"/>
      <c r="E5" s="19"/>
      <c r="F5" s="19"/>
      <c r="G5" s="19"/>
      <c r="H5" s="24"/>
      <c r="I5" s="19"/>
      <c r="J5" s="127"/>
      <c r="P5" s="24"/>
      <c r="R5" s="125"/>
      <c r="S5" s="97" t="s">
        <v>64</v>
      </c>
      <c r="T5" s="74"/>
      <c r="U5" s="125"/>
      <c r="V5" s="30"/>
      <c r="W5" s="74"/>
      <c r="X5" s="126"/>
      <c r="Y5" s="125"/>
      <c r="Z5" s="126"/>
      <c r="AA5" s="84"/>
      <c r="AC5" s="19"/>
      <c r="AD5" s="96"/>
      <c r="AE5" s="19"/>
      <c r="AF5" s="19"/>
      <c r="AG5" s="28"/>
      <c r="AH5" s="19"/>
      <c r="AI5" s="28"/>
      <c r="AJ5" s="19"/>
      <c r="AK5" s="28"/>
      <c r="AL5" s="19"/>
    </row>
    <row r="6" spans="2:38" ht="12">
      <c r="B6" s="127"/>
      <c r="C6" s="22" t="s">
        <v>65</v>
      </c>
      <c r="F6" s="19"/>
      <c r="G6" s="98" t="s">
        <v>66</v>
      </c>
      <c r="H6" s="24"/>
      <c r="I6" s="19"/>
      <c r="J6" s="127"/>
      <c r="K6" s="96" t="s">
        <v>67</v>
      </c>
      <c r="L6" s="96"/>
      <c r="M6" s="19"/>
      <c r="N6" s="214" t="s">
        <v>68</v>
      </c>
      <c r="O6" s="214" t="s">
        <v>69</v>
      </c>
      <c r="P6" s="24"/>
      <c r="R6" s="127"/>
      <c r="S6" s="19" t="s">
        <v>70</v>
      </c>
      <c r="T6" s="19"/>
      <c r="U6" s="53">
        <f>W!A108</f>
        <v>2625</v>
      </c>
      <c r="V6" s="152"/>
      <c r="W6" s="44">
        <f>W!A109</f>
        <v>1475</v>
      </c>
      <c r="X6" s="28"/>
      <c r="Y6" s="53">
        <f>W!A110</f>
        <v>720</v>
      </c>
      <c r="Z6" s="28"/>
      <c r="AA6" s="24"/>
      <c r="AC6" s="19"/>
      <c r="AD6" s="19"/>
      <c r="AE6" s="19"/>
      <c r="AF6" s="44"/>
      <c r="AG6" s="28"/>
      <c r="AH6" s="44"/>
      <c r="AI6" s="28"/>
      <c r="AJ6" s="44"/>
      <c r="AK6" s="28"/>
      <c r="AL6" s="19"/>
    </row>
    <row r="7" spans="2:38">
      <c r="B7" s="127"/>
      <c r="C7" s="18" t="s">
        <v>71</v>
      </c>
      <c r="F7" s="19"/>
      <c r="G7" s="153">
        <f>W!A281</f>
        <v>9000</v>
      </c>
      <c r="H7" s="24"/>
      <c r="I7" s="19"/>
      <c r="J7" s="127"/>
      <c r="K7" s="19" t="s">
        <v>72</v>
      </c>
      <c r="L7" s="19"/>
      <c r="M7" s="19"/>
      <c r="N7" s="154">
        <f>W!A191</f>
        <v>26</v>
      </c>
      <c r="O7" s="154">
        <f>W!A192</f>
        <v>76</v>
      </c>
      <c r="P7" s="24"/>
      <c r="R7" s="127"/>
      <c r="S7" s="19" t="s">
        <v>73</v>
      </c>
      <c r="T7" s="19"/>
      <c r="U7" s="53">
        <f>W!A111</f>
        <v>2719</v>
      </c>
      <c r="V7" s="152"/>
      <c r="W7" s="44">
        <f>W!A112</f>
        <v>1530</v>
      </c>
      <c r="X7" s="28"/>
      <c r="Y7" s="53">
        <f>W!A113</f>
        <v>747</v>
      </c>
      <c r="Z7" s="28"/>
      <c r="AA7" s="24"/>
      <c r="AC7" s="19"/>
      <c r="AD7" s="19"/>
      <c r="AE7" s="19"/>
      <c r="AF7" s="44"/>
      <c r="AG7" s="28"/>
      <c r="AH7" s="44"/>
      <c r="AI7" s="28"/>
      <c r="AJ7" s="44"/>
      <c r="AK7" s="28"/>
      <c r="AL7" s="19"/>
    </row>
    <row r="8" spans="2:38">
      <c r="B8" s="127"/>
      <c r="C8" s="18" t="s">
        <v>74</v>
      </c>
      <c r="F8" s="19"/>
      <c r="G8" s="153">
        <f>0.2*G7</f>
        <v>1800</v>
      </c>
      <c r="H8" s="24"/>
      <c r="I8" s="19"/>
      <c r="J8" s="127"/>
      <c r="K8" s="19" t="s">
        <v>75</v>
      </c>
      <c r="L8" s="19"/>
      <c r="M8" s="19"/>
      <c r="N8" s="154">
        <f>W!A193</f>
        <v>0</v>
      </c>
      <c r="O8" s="154">
        <f>W!A194</f>
        <v>12</v>
      </c>
      <c r="P8" s="24"/>
      <c r="R8" s="127"/>
      <c r="S8" s="19" t="s">
        <v>76</v>
      </c>
      <c r="T8" s="19"/>
      <c r="U8" s="53">
        <f>W!A114</f>
        <v>94</v>
      </c>
      <c r="V8" s="152"/>
      <c r="W8" s="44">
        <f>W!A115</f>
        <v>55</v>
      </c>
      <c r="X8" s="28"/>
      <c r="Y8" s="53">
        <f>W!A116</f>
        <v>27</v>
      </c>
      <c r="Z8" s="28"/>
      <c r="AA8" s="24"/>
      <c r="AC8" s="19"/>
      <c r="AD8" s="19"/>
      <c r="AE8" s="19"/>
      <c r="AF8" s="44"/>
      <c r="AG8" s="28"/>
      <c r="AH8" s="44"/>
      <c r="AI8" s="28"/>
      <c r="AJ8" s="44"/>
      <c r="AK8" s="28"/>
      <c r="AL8" s="19"/>
    </row>
    <row r="9" spans="2:38">
      <c r="B9" s="127"/>
      <c r="C9" s="18" t="s">
        <v>77</v>
      </c>
      <c r="F9" s="19"/>
      <c r="G9" s="153">
        <f>G7-G8-G10</f>
        <v>6300</v>
      </c>
      <c r="H9" s="24"/>
      <c r="I9" s="19"/>
      <c r="J9" s="127"/>
      <c r="K9" s="19" t="s">
        <v>78</v>
      </c>
      <c r="L9" s="19"/>
      <c r="M9" s="19"/>
      <c r="N9" s="154">
        <f>W!A82</f>
        <v>0</v>
      </c>
      <c r="O9" s="154"/>
      <c r="P9" s="24"/>
      <c r="R9" s="127"/>
      <c r="S9" s="19" t="s">
        <v>79</v>
      </c>
      <c r="T9" s="19"/>
      <c r="U9" s="53">
        <f>W!A117</f>
        <v>0</v>
      </c>
      <c r="V9" s="155">
        <f>W!B117</f>
        <v>0</v>
      </c>
      <c r="W9" s="44">
        <f>W!A118</f>
        <v>0</v>
      </c>
      <c r="X9" s="31">
        <f>W!B118</f>
        <v>0</v>
      </c>
      <c r="Y9" s="53">
        <f>W!A119</f>
        <v>0</v>
      </c>
      <c r="Z9" s="31">
        <f>W!B119</f>
        <v>0</v>
      </c>
      <c r="AA9" s="24"/>
      <c r="AC9" s="19"/>
      <c r="AD9" s="19"/>
      <c r="AE9" s="19"/>
      <c r="AF9" s="44"/>
      <c r="AG9" s="31"/>
      <c r="AH9" s="44"/>
      <c r="AI9" s="31"/>
      <c r="AJ9" s="44"/>
      <c r="AK9" s="31"/>
      <c r="AL9" s="19"/>
    </row>
    <row r="10" spans="2:38">
      <c r="B10" s="127"/>
      <c r="C10" s="18" t="s">
        <v>80</v>
      </c>
      <c r="F10" s="19"/>
      <c r="G10" s="153">
        <f>W!A284</f>
        <v>900</v>
      </c>
      <c r="H10" s="24"/>
      <c r="I10" s="19"/>
      <c r="J10" s="127"/>
      <c r="K10" s="28" t="s">
        <v>81</v>
      </c>
      <c r="L10" s="19"/>
      <c r="M10" s="19"/>
      <c r="N10" s="154">
        <f>W!A195</f>
        <v>0</v>
      </c>
      <c r="O10" s="154">
        <f>W!A196</f>
        <v>0</v>
      </c>
      <c r="P10" s="24"/>
      <c r="R10" s="130"/>
      <c r="S10" s="62"/>
      <c r="T10" s="62"/>
      <c r="U10" s="130"/>
      <c r="V10" s="42"/>
      <c r="W10" s="62"/>
      <c r="X10" s="83"/>
      <c r="Y10" s="130"/>
      <c r="Z10" s="83"/>
      <c r="AA10" s="76"/>
      <c r="AC10" s="19"/>
      <c r="AD10" s="19"/>
      <c r="AE10" s="19"/>
      <c r="AF10" s="19"/>
      <c r="AG10" s="28"/>
      <c r="AH10" s="19"/>
      <c r="AI10" s="28"/>
      <c r="AJ10" s="19"/>
      <c r="AK10" s="28"/>
      <c r="AL10" s="19"/>
    </row>
    <row r="11" spans="2:38" ht="12">
      <c r="B11" s="127"/>
      <c r="C11" s="18" t="s">
        <v>82</v>
      </c>
      <c r="F11" s="19"/>
      <c r="G11" s="153">
        <f>0.25*G10</f>
        <v>225</v>
      </c>
      <c r="H11" s="24"/>
      <c r="I11" s="19"/>
      <c r="J11" s="127"/>
      <c r="K11" s="28" t="s">
        <v>83</v>
      </c>
      <c r="L11" s="19"/>
      <c r="M11" s="19"/>
      <c r="N11" s="154">
        <f>N7+N8+N9-N10-N12</f>
        <v>0</v>
      </c>
      <c r="O11" s="154">
        <f>O7+O8+O9-O10-O12</f>
        <v>12</v>
      </c>
      <c r="P11" s="24"/>
      <c r="R11" s="125"/>
      <c r="S11" s="97" t="s">
        <v>84</v>
      </c>
      <c r="T11" s="97"/>
      <c r="U11" s="125"/>
      <c r="V11" s="30"/>
      <c r="W11" s="74"/>
      <c r="X11" s="126"/>
      <c r="Y11" s="125"/>
      <c r="Z11" s="126"/>
      <c r="AA11" s="84"/>
      <c r="AC11" s="19"/>
      <c r="AD11" s="96"/>
      <c r="AE11" s="96"/>
      <c r="AF11" s="19"/>
      <c r="AG11" s="28"/>
      <c r="AH11" s="19"/>
      <c r="AI11" s="28"/>
      <c r="AJ11" s="19"/>
      <c r="AK11" s="28"/>
      <c r="AL11" s="19"/>
    </row>
    <row r="12" spans="2:38">
      <c r="B12" s="127"/>
      <c r="C12" s="18" t="s">
        <v>85</v>
      </c>
      <c r="F12" s="19" t="s">
        <v>1</v>
      </c>
      <c r="G12" s="153">
        <f>W!A285</f>
        <v>275</v>
      </c>
      <c r="H12" s="24"/>
      <c r="I12" s="19"/>
      <c r="J12" s="127"/>
      <c r="K12" s="19" t="s">
        <v>86</v>
      </c>
      <c r="L12" s="19"/>
      <c r="M12" s="19"/>
      <c r="N12" s="156">
        <f>W!A197</f>
        <v>26</v>
      </c>
      <c r="O12" s="156">
        <f>W!A198</f>
        <v>76</v>
      </c>
      <c r="P12" s="24"/>
      <c r="R12" s="127"/>
      <c r="S12" s="28" t="s">
        <v>296</v>
      </c>
      <c r="T12" s="19"/>
      <c r="U12" s="53">
        <f>W!A121</f>
        <v>700</v>
      </c>
      <c r="V12" s="152"/>
      <c r="W12" s="53">
        <f>W!A124</f>
        <v>400</v>
      </c>
      <c r="X12" s="28"/>
      <c r="Y12" s="53">
        <f>W!A127</f>
        <v>220</v>
      </c>
      <c r="Z12" s="28"/>
      <c r="AA12" s="24"/>
      <c r="AC12" s="19"/>
      <c r="AD12" s="28"/>
      <c r="AE12" s="19"/>
      <c r="AF12" s="44"/>
      <c r="AG12" s="28"/>
      <c r="AH12" s="44"/>
      <c r="AI12" s="28"/>
      <c r="AJ12" s="44"/>
      <c r="AK12" s="28"/>
      <c r="AL12" s="19"/>
    </row>
    <row r="13" spans="2:38">
      <c r="B13" s="127"/>
      <c r="C13" s="18" t="s">
        <v>87</v>
      </c>
      <c r="F13" s="19"/>
      <c r="G13" s="153">
        <f>W!A286</f>
        <v>260</v>
      </c>
      <c r="H13" s="24"/>
      <c r="I13" s="19"/>
      <c r="J13" s="130"/>
      <c r="K13" s="62"/>
      <c r="L13" s="62"/>
      <c r="M13" s="62"/>
      <c r="N13" s="62"/>
      <c r="O13" s="62"/>
      <c r="P13" s="76"/>
      <c r="R13" s="127"/>
      <c r="S13" s="99" t="s">
        <v>321</v>
      </c>
      <c r="T13" s="19"/>
      <c r="U13" s="53">
        <f>W!A122</f>
        <v>925</v>
      </c>
      <c r="V13" s="152"/>
      <c r="W13" s="53">
        <f>W!A125</f>
        <v>475</v>
      </c>
      <c r="X13" s="28"/>
      <c r="Y13" s="53">
        <f>W!A128</f>
        <v>250</v>
      </c>
      <c r="Z13" s="28"/>
      <c r="AA13" s="24"/>
      <c r="AC13" s="19"/>
      <c r="AD13" s="99"/>
      <c r="AE13" s="19"/>
      <c r="AF13" s="44"/>
      <c r="AG13" s="28"/>
      <c r="AH13" s="44"/>
      <c r="AI13" s="28"/>
      <c r="AJ13" s="44"/>
      <c r="AK13" s="28"/>
      <c r="AL13" s="19"/>
    </row>
    <row r="14" spans="2:38">
      <c r="B14" s="127"/>
      <c r="C14" s="18" t="s">
        <v>88</v>
      </c>
      <c r="F14" s="19"/>
      <c r="G14" s="157">
        <f>W!A287</f>
        <v>0</v>
      </c>
      <c r="H14" s="24"/>
      <c r="I14" s="19"/>
      <c r="J14" s="127"/>
      <c r="K14" s="19"/>
      <c r="L14" s="19"/>
      <c r="M14" s="19"/>
      <c r="N14" s="19"/>
      <c r="O14" s="61"/>
      <c r="P14" s="24"/>
      <c r="R14" s="127"/>
      <c r="S14" s="28" t="s">
        <v>89</v>
      </c>
      <c r="T14" s="19"/>
      <c r="U14" s="53">
        <f>W!A123</f>
        <v>1000</v>
      </c>
      <c r="V14" s="152"/>
      <c r="W14" s="53">
        <f>W!A126</f>
        <v>600</v>
      </c>
      <c r="X14" s="28"/>
      <c r="Y14" s="53">
        <f>W!A129</f>
        <v>250</v>
      </c>
      <c r="Z14" s="28"/>
      <c r="AA14" s="24"/>
      <c r="AC14" s="19"/>
      <c r="AD14" s="28"/>
      <c r="AE14" s="19"/>
      <c r="AF14" s="44"/>
      <c r="AG14" s="28"/>
      <c r="AH14" s="44"/>
      <c r="AI14" s="28"/>
      <c r="AJ14" s="44"/>
      <c r="AK14" s="28"/>
      <c r="AL14" s="19"/>
    </row>
    <row r="15" spans="2:38" ht="12">
      <c r="B15" s="127"/>
      <c r="C15" s="28" t="s">
        <v>90</v>
      </c>
      <c r="D15" s="19"/>
      <c r="E15" s="19"/>
      <c r="F15" s="19"/>
      <c r="G15" s="158">
        <f>G10-SUM(G11:G14)</f>
        <v>140</v>
      </c>
      <c r="H15" s="24"/>
      <c r="I15" s="19"/>
      <c r="J15" s="127"/>
      <c r="K15" s="96" t="s">
        <v>91</v>
      </c>
      <c r="L15" s="19"/>
      <c r="M15" s="19"/>
      <c r="N15" s="19"/>
      <c r="O15" s="159" t="s">
        <v>92</v>
      </c>
      <c r="P15" s="24"/>
      <c r="R15" s="130"/>
      <c r="S15" s="62"/>
      <c r="T15" s="62"/>
      <c r="U15" s="130"/>
      <c r="V15" s="42"/>
      <c r="W15" s="62"/>
      <c r="X15" s="83"/>
      <c r="Y15" s="130"/>
      <c r="Z15" s="83"/>
      <c r="AA15" s="76"/>
      <c r="AC15" s="19"/>
      <c r="AD15" s="19"/>
      <c r="AE15" s="19"/>
      <c r="AF15" s="19"/>
      <c r="AG15" s="28"/>
      <c r="AH15" s="19"/>
      <c r="AI15" s="28"/>
      <c r="AJ15" s="19"/>
      <c r="AK15" s="28"/>
      <c r="AL15" s="19"/>
    </row>
    <row r="16" spans="2:38" ht="12">
      <c r="B16" s="127"/>
      <c r="H16" s="24"/>
      <c r="I16" s="19"/>
      <c r="J16" s="127"/>
      <c r="K16" s="19" t="s">
        <v>93</v>
      </c>
      <c r="L16" s="19"/>
      <c r="M16" s="19"/>
      <c r="N16" s="44"/>
      <c r="O16" s="153">
        <f>W!A305</f>
        <v>14976</v>
      </c>
      <c r="P16" s="24"/>
      <c r="R16" s="125"/>
      <c r="S16" s="97" t="s">
        <v>94</v>
      </c>
      <c r="T16" s="97"/>
      <c r="U16" s="125"/>
      <c r="V16" s="30"/>
      <c r="W16" s="74"/>
      <c r="X16" s="126"/>
      <c r="Y16" s="125"/>
      <c r="Z16" s="126"/>
      <c r="AA16" s="84"/>
      <c r="AC16" s="19"/>
      <c r="AD16" s="96"/>
      <c r="AE16" s="96"/>
      <c r="AF16" s="19"/>
      <c r="AG16" s="28"/>
      <c r="AH16" s="19"/>
      <c r="AI16" s="28"/>
      <c r="AJ16" s="19"/>
      <c r="AK16" s="28"/>
      <c r="AL16" s="19"/>
    </row>
    <row r="17" spans="2:38" ht="12">
      <c r="B17" s="127"/>
      <c r="C17" s="96" t="s">
        <v>95</v>
      </c>
      <c r="D17" s="19"/>
      <c r="E17" s="19"/>
      <c r="F17" s="19"/>
      <c r="G17" s="21" t="s">
        <v>96</v>
      </c>
      <c r="H17" s="24"/>
      <c r="I17" s="19"/>
      <c r="J17" s="127"/>
      <c r="K17" s="19" t="s">
        <v>97</v>
      </c>
      <c r="L17" s="19"/>
      <c r="M17" s="19"/>
      <c r="N17" s="19"/>
      <c r="O17" s="153">
        <f>W!A306</f>
        <v>234</v>
      </c>
      <c r="P17" s="155">
        <f>W!B307</f>
        <v>0</v>
      </c>
      <c r="R17" s="127"/>
      <c r="S17" s="19" t="s">
        <v>295</v>
      </c>
      <c r="T17" s="19"/>
      <c r="U17" s="53">
        <f>W!A131</f>
        <v>707</v>
      </c>
      <c r="V17" s="152"/>
      <c r="W17" s="53">
        <f>W!A134</f>
        <v>362</v>
      </c>
      <c r="X17" s="28"/>
      <c r="Y17" s="53">
        <f>W!A137</f>
        <v>224</v>
      </c>
      <c r="Z17" s="28"/>
      <c r="AA17" s="24"/>
      <c r="AC17" s="19"/>
      <c r="AD17" s="19"/>
      <c r="AE17" s="19"/>
      <c r="AF17" s="44"/>
      <c r="AG17" s="28"/>
      <c r="AH17" s="44"/>
      <c r="AI17" s="28"/>
      <c r="AJ17" s="44"/>
      <c r="AK17" s="28"/>
      <c r="AL17" s="19"/>
    </row>
    <row r="18" spans="2:38">
      <c r="B18" s="127"/>
      <c r="C18" s="19" t="s">
        <v>98</v>
      </c>
      <c r="D18" s="19"/>
      <c r="E18" s="19"/>
      <c r="F18" s="44"/>
      <c r="G18" s="44">
        <f>W!A291</f>
        <v>0</v>
      </c>
      <c r="H18" s="24"/>
      <c r="I18" s="19"/>
      <c r="J18" s="127"/>
      <c r="K18" s="28" t="s">
        <v>99</v>
      </c>
      <c r="L18" s="19"/>
      <c r="M18" s="19"/>
      <c r="N18" s="19"/>
      <c r="O18" s="153">
        <f>W!A307</f>
        <v>13464</v>
      </c>
      <c r="P18" s="24"/>
      <c r="R18" s="127"/>
      <c r="S18" s="100" t="s">
        <v>320</v>
      </c>
      <c r="T18" s="19"/>
      <c r="U18" s="53">
        <f>W!A132</f>
        <v>889</v>
      </c>
      <c r="V18" s="152"/>
      <c r="W18" s="53">
        <f>W!A135</f>
        <v>422</v>
      </c>
      <c r="X18" s="28"/>
      <c r="Y18" s="53">
        <f>W!A138</f>
        <v>246</v>
      </c>
      <c r="Z18" s="28"/>
      <c r="AA18" s="24"/>
      <c r="AC18" s="19"/>
      <c r="AD18" s="100"/>
      <c r="AE18" s="19"/>
      <c r="AF18" s="44"/>
      <c r="AG18" s="28"/>
      <c r="AH18" s="44"/>
      <c r="AI18" s="28"/>
      <c r="AJ18" s="44"/>
      <c r="AK18" s="28"/>
      <c r="AL18" s="19"/>
    </row>
    <row r="19" spans="2:38" ht="12">
      <c r="B19" s="127"/>
      <c r="C19" s="19" t="s">
        <v>100</v>
      </c>
      <c r="D19" s="19"/>
      <c r="E19" s="19"/>
      <c r="F19" s="19"/>
      <c r="G19" s="44">
        <f>W!A292</f>
        <v>11</v>
      </c>
      <c r="H19" s="24"/>
      <c r="I19" s="19"/>
      <c r="J19" s="127"/>
      <c r="O19" s="160" t="s">
        <v>101</v>
      </c>
      <c r="P19" s="24"/>
      <c r="R19" s="127"/>
      <c r="S19" s="19" t="s">
        <v>102</v>
      </c>
      <c r="T19" s="19"/>
      <c r="U19" s="53">
        <f>W!A133</f>
        <v>1004</v>
      </c>
      <c r="V19" s="152"/>
      <c r="W19" s="53">
        <f>W!A136</f>
        <v>618</v>
      </c>
      <c r="X19" s="28"/>
      <c r="Y19" s="53">
        <f>W!A139</f>
        <v>325</v>
      </c>
      <c r="Z19" s="28"/>
      <c r="AA19" s="24"/>
      <c r="AC19" s="19"/>
      <c r="AD19" s="19"/>
      <c r="AE19" s="19"/>
      <c r="AF19" s="44"/>
      <c r="AG19" s="28"/>
      <c r="AH19" s="44"/>
      <c r="AI19" s="28"/>
      <c r="AJ19" s="44"/>
      <c r="AK19" s="28"/>
      <c r="AL19" s="19"/>
    </row>
    <row r="20" spans="2:38">
      <c r="B20" s="127"/>
      <c r="C20" s="19" t="s">
        <v>103</v>
      </c>
      <c r="D20" s="19"/>
      <c r="E20" s="19"/>
      <c r="F20" s="44"/>
      <c r="G20" s="44">
        <f>W!A293</f>
        <v>0</v>
      </c>
      <c r="H20" s="24"/>
      <c r="I20" s="19"/>
      <c r="J20" s="127"/>
      <c r="K20" s="19" t="s">
        <v>104</v>
      </c>
      <c r="L20" s="19"/>
      <c r="M20" s="19"/>
      <c r="N20" s="19"/>
      <c r="O20" s="44">
        <f>W!A308</f>
        <v>0</v>
      </c>
      <c r="P20" s="24"/>
      <c r="R20" s="130"/>
      <c r="S20" s="62"/>
      <c r="T20" s="62"/>
      <c r="U20" s="130"/>
      <c r="V20" s="42"/>
      <c r="W20" s="62"/>
      <c r="X20" s="83"/>
      <c r="Y20" s="130"/>
      <c r="Z20" s="83"/>
      <c r="AA20" s="76"/>
      <c r="AC20" s="19"/>
      <c r="AD20" s="19"/>
      <c r="AE20" s="19"/>
      <c r="AF20" s="19"/>
      <c r="AG20" s="28"/>
      <c r="AH20" s="19"/>
      <c r="AI20" s="28"/>
      <c r="AJ20" s="19"/>
      <c r="AK20" s="28"/>
      <c r="AL20" s="19"/>
    </row>
    <row r="21" spans="2:38" ht="12">
      <c r="B21" s="127"/>
      <c r="C21" s="19" t="s">
        <v>105</v>
      </c>
      <c r="D21" s="19"/>
      <c r="E21" s="19"/>
      <c r="F21" s="19"/>
      <c r="G21" s="44">
        <f>W!A294</f>
        <v>11</v>
      </c>
      <c r="H21" s="24"/>
      <c r="I21" s="19"/>
      <c r="J21" s="130"/>
      <c r="K21" s="62"/>
      <c r="L21" s="62"/>
      <c r="M21" s="62"/>
      <c r="N21" s="62"/>
      <c r="O21" s="62"/>
      <c r="P21" s="76"/>
      <c r="R21" s="125"/>
      <c r="S21" s="97" t="s">
        <v>106</v>
      </c>
      <c r="T21" s="74"/>
      <c r="U21" s="125"/>
      <c r="V21" s="30"/>
      <c r="W21" s="74"/>
      <c r="X21" s="126"/>
      <c r="Y21" s="125"/>
      <c r="Z21" s="126"/>
      <c r="AA21" s="84"/>
      <c r="AC21" s="19"/>
      <c r="AD21" s="96"/>
      <c r="AE21" s="19"/>
      <c r="AF21" s="19"/>
      <c r="AG21" s="28"/>
      <c r="AH21" s="19"/>
      <c r="AI21" s="28"/>
      <c r="AJ21" s="19"/>
      <c r="AK21" s="28"/>
      <c r="AL21" s="19"/>
    </row>
    <row r="22" spans="2:38" ht="12">
      <c r="B22" s="127"/>
      <c r="C22" s="96"/>
      <c r="D22" s="96"/>
      <c r="E22" s="96"/>
      <c r="F22" s="96"/>
      <c r="G22" s="96"/>
      <c r="H22" s="24"/>
      <c r="I22" s="19"/>
      <c r="Q22" s="19"/>
      <c r="R22" s="127"/>
      <c r="S22" s="19" t="s">
        <v>295</v>
      </c>
      <c r="T22" s="19"/>
      <c r="U22" s="53">
        <f>W!A141</f>
        <v>700</v>
      </c>
      <c r="V22" s="152"/>
      <c r="W22" s="53">
        <f>W!A144</f>
        <v>365</v>
      </c>
      <c r="X22" s="28"/>
      <c r="Y22" s="53">
        <f>W!A147</f>
        <v>220</v>
      </c>
      <c r="Z22" s="28"/>
      <c r="AA22" s="24"/>
      <c r="AC22" s="19"/>
      <c r="AD22" s="19"/>
      <c r="AE22" s="19"/>
      <c r="AF22" s="44"/>
      <c r="AG22" s="28"/>
      <c r="AH22" s="44"/>
      <c r="AI22" s="28"/>
      <c r="AJ22" s="44"/>
      <c r="AK22" s="28"/>
      <c r="AL22" s="19"/>
    </row>
    <row r="23" spans="2:38">
      <c r="B23" s="127"/>
      <c r="C23" s="19" t="s">
        <v>107</v>
      </c>
      <c r="D23" s="19"/>
      <c r="E23" s="19"/>
      <c r="F23" s="44"/>
      <c r="G23" s="44">
        <f>W!A301</f>
        <v>11748</v>
      </c>
      <c r="H23" s="52"/>
      <c r="I23" s="19"/>
      <c r="R23" s="127"/>
      <c r="S23" s="100" t="s">
        <v>320</v>
      </c>
      <c r="T23" s="19"/>
      <c r="U23" s="53">
        <f>W!A142</f>
        <v>925</v>
      </c>
      <c r="V23" s="152"/>
      <c r="W23" s="53">
        <f>W!A145</f>
        <v>432</v>
      </c>
      <c r="X23" s="28"/>
      <c r="Y23" s="53">
        <f>W!A148</f>
        <v>250</v>
      </c>
      <c r="Z23" s="28"/>
      <c r="AA23" s="24"/>
      <c r="AC23" s="19"/>
      <c r="AD23" s="100"/>
      <c r="AE23" s="19"/>
      <c r="AF23" s="44"/>
      <c r="AG23" s="28"/>
      <c r="AH23" s="44"/>
      <c r="AI23" s="28"/>
      <c r="AJ23" s="44"/>
      <c r="AK23" s="28"/>
      <c r="AL23" s="19"/>
    </row>
    <row r="24" spans="2:38">
      <c r="B24" s="127"/>
      <c r="C24" s="19" t="s">
        <v>108</v>
      </c>
      <c r="D24" s="19"/>
      <c r="E24" s="19"/>
      <c r="F24" s="19"/>
      <c r="G24" s="44">
        <f>W!A302</f>
        <v>38</v>
      </c>
      <c r="H24" s="161">
        <f>W!B302</f>
        <v>0</v>
      </c>
      <c r="I24" s="19"/>
      <c r="J24" s="125"/>
      <c r="K24" s="74"/>
      <c r="L24" s="74"/>
      <c r="M24" s="74"/>
      <c r="N24" s="36"/>
      <c r="O24" s="36"/>
      <c r="P24" s="84"/>
      <c r="R24" s="127"/>
      <c r="S24" s="19" t="s">
        <v>102</v>
      </c>
      <c r="T24" s="19"/>
      <c r="U24" s="53">
        <f>W!A143</f>
        <v>1000</v>
      </c>
      <c r="V24" s="152"/>
      <c r="W24" s="53">
        <f>W!A146</f>
        <v>600</v>
      </c>
      <c r="X24" s="28"/>
      <c r="Y24" s="53">
        <f>W!A149</f>
        <v>250</v>
      </c>
      <c r="Z24" s="28"/>
      <c r="AA24" s="24"/>
      <c r="AC24" s="19"/>
      <c r="AD24" s="19"/>
      <c r="AE24" s="19"/>
      <c r="AF24" s="44"/>
      <c r="AG24" s="28"/>
      <c r="AH24" s="44"/>
      <c r="AI24" s="28"/>
      <c r="AJ24" s="44"/>
      <c r="AK24" s="28"/>
      <c r="AL24" s="19"/>
    </row>
    <row r="25" spans="2:38" ht="12">
      <c r="B25" s="127"/>
      <c r="C25" s="28" t="s">
        <v>109</v>
      </c>
      <c r="G25" s="44">
        <f>W!A303</f>
        <v>6652</v>
      </c>
      <c r="H25" s="24"/>
      <c r="I25" s="19"/>
      <c r="J25" s="127"/>
      <c r="K25" s="34" t="s">
        <v>110</v>
      </c>
      <c r="L25" s="96"/>
      <c r="M25" s="162" t="s">
        <v>293</v>
      </c>
      <c r="N25" s="163" t="s">
        <v>319</v>
      </c>
      <c r="O25" s="163" t="s">
        <v>23</v>
      </c>
      <c r="P25" s="164"/>
      <c r="R25" s="130"/>
      <c r="S25" s="62"/>
      <c r="T25" s="62"/>
      <c r="U25" s="130"/>
      <c r="V25" s="42"/>
      <c r="W25" s="62"/>
      <c r="X25" s="83"/>
      <c r="Y25" s="130"/>
      <c r="Z25" s="83"/>
      <c r="AA25" s="76"/>
      <c r="AC25" s="19"/>
      <c r="AD25" s="19"/>
      <c r="AE25" s="19"/>
      <c r="AF25" s="19"/>
      <c r="AG25" s="28"/>
      <c r="AH25" s="19"/>
      <c r="AI25" s="28"/>
      <c r="AJ25" s="19"/>
      <c r="AK25" s="28"/>
      <c r="AL25" s="19"/>
    </row>
    <row r="26" spans="2:38" ht="12">
      <c r="B26" s="127"/>
      <c r="C26" s="19" t="s">
        <v>111</v>
      </c>
      <c r="D26" s="19"/>
      <c r="E26" s="19"/>
      <c r="F26" s="19"/>
      <c r="G26" s="44">
        <f>G19*W!A75-G24</f>
        <v>237</v>
      </c>
      <c r="H26" s="24"/>
      <c r="I26" s="19"/>
      <c r="J26" s="127"/>
      <c r="K26" s="28" t="s">
        <v>112</v>
      </c>
      <c r="L26" s="19"/>
      <c r="M26" s="154">
        <f>W!A321</f>
        <v>2</v>
      </c>
      <c r="N26" s="154">
        <f>W!A322</f>
        <v>3</v>
      </c>
      <c r="O26" s="44">
        <f>IF(W!A327&gt;0,1,0)</f>
        <v>1</v>
      </c>
      <c r="P26" s="164"/>
      <c r="R26" s="125"/>
      <c r="S26" s="97" t="s">
        <v>113</v>
      </c>
      <c r="T26" s="97"/>
      <c r="U26" s="125"/>
      <c r="V26" s="30"/>
      <c r="W26" s="74"/>
      <c r="X26" s="126"/>
      <c r="Y26" s="125"/>
      <c r="Z26" s="126"/>
      <c r="AA26" s="84"/>
      <c r="AC26" s="19"/>
      <c r="AD26" s="96"/>
      <c r="AE26" s="96"/>
      <c r="AF26" s="19"/>
      <c r="AG26" s="28"/>
      <c r="AH26" s="19"/>
      <c r="AI26" s="28"/>
      <c r="AJ26" s="19"/>
      <c r="AK26" s="28"/>
      <c r="AL26" s="19"/>
    </row>
    <row r="27" spans="2:38">
      <c r="B27" s="127"/>
      <c r="C27" s="19" t="s">
        <v>114</v>
      </c>
      <c r="D27" s="19"/>
      <c r="E27" s="19"/>
      <c r="F27" s="19"/>
      <c r="G27" s="165" t="str">
        <f>W!A304</f>
        <v xml:space="preserve"> 92.1</v>
      </c>
      <c r="H27" s="24"/>
      <c r="I27" s="19"/>
      <c r="J27" s="127"/>
      <c r="K27" s="28" t="s">
        <v>115</v>
      </c>
      <c r="L27" s="19"/>
      <c r="M27" s="154">
        <f>W!A323</f>
        <v>0</v>
      </c>
      <c r="N27" s="154">
        <f>W!A324</f>
        <v>0</v>
      </c>
      <c r="O27" s="44"/>
      <c r="P27" s="164"/>
      <c r="R27" s="127"/>
      <c r="S27" s="19" t="s">
        <v>295</v>
      </c>
      <c r="T27" s="19"/>
      <c r="U27" s="53">
        <f>W!A151</f>
        <v>55</v>
      </c>
      <c r="V27" s="152"/>
      <c r="W27" s="53">
        <f>W!A154</f>
        <v>0</v>
      </c>
      <c r="X27" s="28"/>
      <c r="Y27" s="53">
        <f>W!A157</f>
        <v>11</v>
      </c>
      <c r="Z27" s="28"/>
      <c r="AA27" s="24"/>
      <c r="AC27" s="19"/>
      <c r="AD27" s="19"/>
      <c r="AE27" s="19"/>
      <c r="AF27" s="44"/>
      <c r="AG27" s="28"/>
      <c r="AH27" s="44"/>
      <c r="AI27" s="28"/>
      <c r="AJ27" s="44"/>
      <c r="AK27" s="28"/>
      <c r="AL27" s="19"/>
    </row>
    <row r="28" spans="2:38">
      <c r="B28" s="127"/>
      <c r="C28" s="19"/>
      <c r="D28" s="19"/>
      <c r="E28" s="19"/>
      <c r="F28" s="19"/>
      <c r="G28" s="19"/>
      <c r="H28" s="24"/>
      <c r="I28" s="19"/>
      <c r="J28" s="127"/>
      <c r="K28" s="28" t="s">
        <v>116</v>
      </c>
      <c r="L28" s="19"/>
      <c r="M28" s="154">
        <f>MAX(M26-M27-M30,0)</f>
        <v>0</v>
      </c>
      <c r="N28" s="154">
        <f>MAX(N26-N27-N30,0)</f>
        <v>0</v>
      </c>
      <c r="O28" s="154">
        <f>O26-O30</f>
        <v>0</v>
      </c>
      <c r="P28" s="164"/>
      <c r="R28" s="127"/>
      <c r="S28" s="100" t="s">
        <v>320</v>
      </c>
      <c r="T28" s="19"/>
      <c r="U28" s="53">
        <f>W!A152</f>
        <v>17</v>
      </c>
      <c r="V28" s="152"/>
      <c r="W28" s="53">
        <f>W!A155</f>
        <v>0</v>
      </c>
      <c r="X28" s="28"/>
      <c r="Y28" s="53">
        <f>W!A158</f>
        <v>0</v>
      </c>
      <c r="Z28" s="28"/>
      <c r="AA28" s="24"/>
      <c r="AC28" s="19"/>
      <c r="AD28" s="100"/>
      <c r="AE28" s="19"/>
      <c r="AF28" s="44"/>
      <c r="AG28" s="28"/>
      <c r="AH28" s="44"/>
      <c r="AI28" s="28"/>
      <c r="AJ28" s="44"/>
      <c r="AK28" s="28"/>
      <c r="AL28" s="19"/>
    </row>
    <row r="29" spans="2:38" ht="12">
      <c r="B29" s="127"/>
      <c r="C29" s="96" t="s">
        <v>117</v>
      </c>
      <c r="D29" s="96"/>
      <c r="E29" s="96"/>
      <c r="F29" s="19"/>
      <c r="G29" s="19"/>
      <c r="H29" s="24"/>
      <c r="I29" s="19"/>
      <c r="J29" s="127"/>
      <c r="K29" s="28" t="s">
        <v>118</v>
      </c>
      <c r="L29" s="19"/>
      <c r="M29" s="154">
        <f>MAX(M30-M26+M27,0)</f>
        <v>0</v>
      </c>
      <c r="N29" s="154">
        <f>MAX(N30-N26+N27,0)</f>
        <v>0</v>
      </c>
      <c r="O29" s="154">
        <f>O30-O26</f>
        <v>0</v>
      </c>
      <c r="P29" s="164"/>
      <c r="R29" s="130"/>
      <c r="S29" s="62"/>
      <c r="T29" s="62"/>
      <c r="U29" s="130"/>
      <c r="V29" s="42"/>
      <c r="W29" s="62"/>
      <c r="X29" s="83"/>
      <c r="Y29" s="130"/>
      <c r="Z29" s="83"/>
      <c r="AA29" s="76"/>
      <c r="AC29" s="19"/>
      <c r="AD29" s="19"/>
      <c r="AE29" s="19"/>
      <c r="AF29" s="19"/>
      <c r="AG29" s="28"/>
      <c r="AH29" s="19"/>
      <c r="AI29" s="28"/>
      <c r="AJ29" s="19"/>
      <c r="AK29" s="28"/>
      <c r="AL29" s="19"/>
    </row>
    <row r="30" spans="2:38" ht="12">
      <c r="B30" s="127"/>
      <c r="C30" s="19" t="s">
        <v>119</v>
      </c>
      <c r="D30" s="19"/>
      <c r="E30" s="19"/>
      <c r="F30" s="44"/>
      <c r="G30" s="44">
        <f>W!A311</f>
        <v>3098</v>
      </c>
      <c r="H30" s="24"/>
      <c r="I30" s="19"/>
      <c r="J30" s="127"/>
      <c r="K30" s="28" t="s">
        <v>120</v>
      </c>
      <c r="L30" s="19"/>
      <c r="M30" s="156">
        <f>W!A325</f>
        <v>2</v>
      </c>
      <c r="N30" s="156">
        <f>W!A326</f>
        <v>3</v>
      </c>
      <c r="O30" s="41">
        <f>IF(W!A328&gt;0,1,0)</f>
        <v>1</v>
      </c>
      <c r="P30" s="164"/>
      <c r="R30" s="127"/>
      <c r="S30" s="96" t="s">
        <v>121</v>
      </c>
      <c r="T30" s="96"/>
      <c r="U30" s="127"/>
      <c r="V30" s="152"/>
      <c r="W30" s="19"/>
      <c r="X30" s="28"/>
      <c r="Y30" s="127"/>
      <c r="Z30" s="28"/>
      <c r="AA30" s="24"/>
      <c r="AC30" s="19"/>
      <c r="AD30" s="96"/>
      <c r="AE30" s="96"/>
      <c r="AF30" s="19"/>
      <c r="AG30" s="28"/>
      <c r="AH30" s="19"/>
      <c r="AI30" s="28"/>
      <c r="AJ30" s="19"/>
      <c r="AK30" s="28"/>
      <c r="AL30" s="19"/>
    </row>
    <row r="31" spans="2:38">
      <c r="B31" s="127"/>
      <c r="C31" s="19" t="s">
        <v>122</v>
      </c>
      <c r="D31" s="19"/>
      <c r="E31" s="19"/>
      <c r="F31" s="44"/>
      <c r="G31" s="44">
        <f>1000*W!A57+W!A312</f>
        <v>0</v>
      </c>
      <c r="H31" s="24"/>
      <c r="I31" s="19"/>
      <c r="J31" s="130"/>
      <c r="K31" s="62"/>
      <c r="L31" s="62"/>
      <c r="M31" s="62"/>
      <c r="N31" s="62"/>
      <c r="O31" s="62"/>
      <c r="P31" s="76"/>
      <c r="R31" s="127"/>
      <c r="S31" s="19" t="s">
        <v>295</v>
      </c>
      <c r="T31" s="19"/>
      <c r="U31" s="53">
        <f>W!A161</f>
        <v>0</v>
      </c>
      <c r="V31" s="152"/>
      <c r="W31" s="53">
        <f>W!A164</f>
        <v>35</v>
      </c>
      <c r="X31" s="28"/>
      <c r="Y31" s="53">
        <f>W!A167</f>
        <v>0</v>
      </c>
      <c r="Z31" s="28"/>
      <c r="AA31" s="24"/>
      <c r="AC31" s="19"/>
      <c r="AD31" s="19"/>
      <c r="AE31" s="19"/>
      <c r="AF31" s="44"/>
      <c r="AG31" s="28"/>
      <c r="AH31" s="44"/>
      <c r="AI31" s="28"/>
      <c r="AJ31" s="44"/>
      <c r="AK31" s="28"/>
      <c r="AL31" s="19"/>
    </row>
    <row r="32" spans="2:38">
      <c r="B32" s="127"/>
      <c r="C32" s="19" t="s">
        <v>123</v>
      </c>
      <c r="D32" s="19"/>
      <c r="E32" s="19"/>
      <c r="F32" s="19"/>
      <c r="G32" s="44">
        <f>W!A313</f>
        <v>4922</v>
      </c>
      <c r="H32" s="24"/>
      <c r="I32" s="19"/>
      <c r="M32" s="18" t="s">
        <v>1</v>
      </c>
      <c r="R32" s="127"/>
      <c r="S32" s="100" t="s">
        <v>320</v>
      </c>
      <c r="T32" s="19"/>
      <c r="U32" s="53">
        <f>W!A162</f>
        <v>0</v>
      </c>
      <c r="V32" s="152"/>
      <c r="W32" s="53">
        <f>W!A165</f>
        <v>43</v>
      </c>
      <c r="X32" s="28"/>
      <c r="Y32" s="53">
        <f>W!A168</f>
        <v>0</v>
      </c>
      <c r="Z32" s="28"/>
      <c r="AA32" s="24"/>
      <c r="AC32" s="19"/>
      <c r="AD32" s="100"/>
      <c r="AE32" s="19"/>
      <c r="AF32" s="44"/>
      <c r="AG32" s="28"/>
      <c r="AH32" s="44"/>
      <c r="AI32" s="28"/>
      <c r="AJ32" s="44"/>
      <c r="AK32" s="28"/>
      <c r="AL32" s="19"/>
    </row>
    <row r="33" spans="2:38">
      <c r="B33" s="127"/>
      <c r="C33" s="19" t="s">
        <v>124</v>
      </c>
      <c r="D33" s="19"/>
      <c r="E33" s="19"/>
      <c r="F33" s="19"/>
      <c r="G33" s="44">
        <f>W!A314</f>
        <v>0</v>
      </c>
      <c r="H33" s="166">
        <f>W!B313</f>
        <v>0</v>
      </c>
      <c r="I33" s="19"/>
      <c r="M33" s="19"/>
      <c r="R33" s="127"/>
      <c r="S33" s="19" t="s">
        <v>102</v>
      </c>
      <c r="T33" s="19"/>
      <c r="U33" s="53">
        <f>W!A163</f>
        <v>0</v>
      </c>
      <c r="V33" s="152"/>
      <c r="W33" s="53">
        <f>W!A166</f>
        <v>0</v>
      </c>
      <c r="X33" s="28"/>
      <c r="Y33" s="53">
        <f>W!A169</f>
        <v>0</v>
      </c>
      <c r="Z33" s="28"/>
      <c r="AA33" s="24"/>
      <c r="AC33" s="19"/>
      <c r="AD33" s="19"/>
      <c r="AE33" s="19"/>
      <c r="AF33" s="44"/>
      <c r="AG33" s="28"/>
      <c r="AH33" s="44"/>
      <c r="AI33" s="28"/>
      <c r="AJ33" s="44"/>
      <c r="AK33" s="28"/>
      <c r="AL33" s="19"/>
    </row>
    <row r="34" spans="2:38">
      <c r="B34" s="127"/>
      <c r="C34" s="19" t="s">
        <v>125</v>
      </c>
      <c r="D34" s="19"/>
      <c r="E34" s="19"/>
      <c r="F34" s="19"/>
      <c r="G34" s="44">
        <f>W!A315</f>
        <v>8020</v>
      </c>
      <c r="H34" s="24"/>
      <c r="I34" s="19"/>
      <c r="J34" s="125"/>
      <c r="K34" s="74"/>
      <c r="L34" s="74"/>
      <c r="M34" s="74"/>
      <c r="N34" s="36"/>
      <c r="O34" s="36"/>
      <c r="P34" s="84"/>
      <c r="R34" s="130"/>
      <c r="S34" s="62"/>
      <c r="T34" s="62"/>
      <c r="U34" s="130"/>
      <c r="V34" s="42"/>
      <c r="W34" s="62"/>
      <c r="X34" s="83"/>
      <c r="Y34" s="130"/>
      <c r="Z34" s="83"/>
      <c r="AA34" s="76"/>
      <c r="AC34" s="19"/>
      <c r="AD34" s="19"/>
      <c r="AE34" s="19"/>
      <c r="AF34" s="19"/>
      <c r="AG34" s="28"/>
      <c r="AH34" s="19"/>
      <c r="AI34" s="28"/>
      <c r="AJ34" s="19"/>
      <c r="AK34" s="28"/>
      <c r="AL34" s="19"/>
    </row>
    <row r="35" spans="2:38" ht="12">
      <c r="B35" s="127"/>
      <c r="C35" s="19" t="s">
        <v>126</v>
      </c>
      <c r="D35" s="19"/>
      <c r="E35" s="19"/>
      <c r="F35" s="19"/>
      <c r="G35" s="44">
        <f>W!A316</f>
        <v>0</v>
      </c>
      <c r="H35" s="24"/>
      <c r="I35" s="19"/>
      <c r="J35" s="127"/>
      <c r="K35" s="96" t="s">
        <v>317</v>
      </c>
      <c r="L35" s="96"/>
      <c r="M35" s="167" t="s">
        <v>293</v>
      </c>
      <c r="N35" s="168" t="s">
        <v>319</v>
      </c>
      <c r="O35" s="167" t="s">
        <v>23</v>
      </c>
      <c r="P35" s="24"/>
      <c r="R35" s="125"/>
      <c r="S35" s="97"/>
      <c r="T35" s="97"/>
      <c r="U35" s="125"/>
      <c r="V35" s="30"/>
      <c r="W35" s="74"/>
      <c r="X35" s="30"/>
      <c r="Y35" s="19"/>
      <c r="Z35" s="126"/>
      <c r="AA35" s="84"/>
      <c r="AC35" s="19"/>
      <c r="AD35" s="96"/>
      <c r="AE35" s="96"/>
      <c r="AF35" s="19"/>
      <c r="AG35" s="28"/>
      <c r="AH35" s="19"/>
      <c r="AI35" s="28"/>
      <c r="AJ35" s="19"/>
      <c r="AK35" s="28"/>
      <c r="AL35" s="19"/>
    </row>
    <row r="36" spans="2:38" ht="12">
      <c r="B36" s="127"/>
      <c r="C36" s="28" t="s">
        <v>127</v>
      </c>
      <c r="D36" s="19"/>
      <c r="E36" s="19"/>
      <c r="F36" s="19"/>
      <c r="G36" s="44"/>
      <c r="H36" s="24"/>
      <c r="I36" s="19"/>
      <c r="J36" s="127"/>
      <c r="K36" s="18" t="s">
        <v>128</v>
      </c>
      <c r="L36" s="19"/>
      <c r="M36" s="53">
        <f>W!A295</f>
        <v>1434</v>
      </c>
      <c r="N36" s="53">
        <f>W!A297</f>
        <v>500</v>
      </c>
      <c r="O36" s="154">
        <f>W!A299</f>
        <v>300</v>
      </c>
      <c r="P36" s="24"/>
      <c r="R36" s="127"/>
      <c r="S36" s="96" t="s">
        <v>129</v>
      </c>
      <c r="T36" s="101"/>
      <c r="U36" s="44">
        <f>W!A171</f>
        <v>109</v>
      </c>
      <c r="V36" s="155">
        <f>W!B171</f>
        <v>0</v>
      </c>
      <c r="W36" s="44">
        <f>W!A172</f>
        <v>62</v>
      </c>
      <c r="X36" s="155">
        <f>W!B172</f>
        <v>0</v>
      </c>
      <c r="Y36" s="44">
        <f>W!A173</f>
        <v>33</v>
      </c>
      <c r="Z36" s="31">
        <f>W!B173</f>
        <v>0</v>
      </c>
      <c r="AA36" s="24"/>
      <c r="AC36" s="19"/>
      <c r="AD36" s="96"/>
      <c r="AE36" s="96"/>
      <c r="AF36" s="44"/>
      <c r="AG36" s="31"/>
      <c r="AH36" s="44"/>
      <c r="AI36" s="31"/>
      <c r="AJ36" s="44"/>
      <c r="AK36" s="31"/>
      <c r="AL36" s="19"/>
    </row>
    <row r="37" spans="2:38" ht="12">
      <c r="B37" s="127"/>
      <c r="C37" s="19" t="s">
        <v>130</v>
      </c>
      <c r="D37" s="19"/>
      <c r="E37" s="19"/>
      <c r="F37" s="19"/>
      <c r="G37" s="44">
        <f>1000*W!A58</f>
        <v>0</v>
      </c>
      <c r="H37" s="24"/>
      <c r="I37" s="19"/>
      <c r="J37" s="127"/>
      <c r="K37" s="19" t="s">
        <v>131</v>
      </c>
      <c r="L37" s="19"/>
      <c r="M37" s="156">
        <f>W!A296</f>
        <v>5</v>
      </c>
      <c r="N37" s="156">
        <f>W!A298</f>
        <v>6</v>
      </c>
      <c r="O37" s="156">
        <f>W!A300</f>
        <v>7</v>
      </c>
      <c r="P37" s="24"/>
      <c r="R37" s="130"/>
      <c r="S37" s="169" t="s">
        <v>132</v>
      </c>
      <c r="T37" s="62"/>
      <c r="U37" s="130"/>
      <c r="V37" s="42"/>
      <c r="W37" s="62"/>
      <c r="X37" s="83"/>
      <c r="Y37" s="130"/>
      <c r="Z37" s="83"/>
      <c r="AA37" s="76"/>
      <c r="AC37" s="19"/>
      <c r="AD37" s="19"/>
      <c r="AE37" s="19"/>
      <c r="AF37" s="19"/>
      <c r="AG37" s="28"/>
      <c r="AH37" s="19"/>
      <c r="AI37" s="28"/>
      <c r="AJ37" s="19"/>
      <c r="AK37" s="28"/>
      <c r="AL37" s="19"/>
    </row>
    <row r="38" spans="2:38" ht="12">
      <c r="B38" s="127"/>
      <c r="C38" s="19" t="s">
        <v>133</v>
      </c>
      <c r="D38" s="19"/>
      <c r="E38" s="19"/>
      <c r="F38" s="19"/>
      <c r="G38" s="44">
        <f>W!A317</f>
        <v>0</v>
      </c>
      <c r="H38" s="24"/>
      <c r="I38" s="19"/>
      <c r="J38" s="130"/>
      <c r="K38" s="62"/>
      <c r="L38" s="62"/>
      <c r="M38" s="62"/>
      <c r="N38" s="62"/>
      <c r="O38" s="62"/>
      <c r="P38" s="76"/>
      <c r="R38" s="125"/>
      <c r="S38" s="102"/>
      <c r="T38" s="97"/>
      <c r="U38" s="125"/>
      <c r="V38" s="30"/>
      <c r="W38" s="74"/>
      <c r="X38" s="126"/>
      <c r="Y38" s="125"/>
      <c r="Z38" s="126"/>
      <c r="AA38" s="84"/>
      <c r="AC38" s="19"/>
      <c r="AD38" s="34"/>
      <c r="AE38" s="96"/>
      <c r="AF38" s="19"/>
      <c r="AG38" s="28"/>
      <c r="AH38" s="19"/>
      <c r="AI38" s="28"/>
      <c r="AJ38" s="19"/>
      <c r="AK38" s="28"/>
      <c r="AL38" s="19"/>
    </row>
    <row r="39" spans="2:38" ht="12">
      <c r="B39" s="127"/>
      <c r="C39" s="28" t="s">
        <v>134</v>
      </c>
      <c r="D39" s="19"/>
      <c r="E39" s="19"/>
      <c r="F39" s="19"/>
      <c r="G39" s="44">
        <f>1000*W!A59</f>
        <v>0</v>
      </c>
      <c r="H39" s="24"/>
      <c r="I39" s="19"/>
      <c r="R39" s="127"/>
      <c r="S39" s="96" t="s">
        <v>135</v>
      </c>
      <c r="T39" s="96"/>
      <c r="U39" s="170" t="str">
        <f>W!A177</f>
        <v>None</v>
      </c>
      <c r="V39" s="152"/>
      <c r="W39" s="170" t="str">
        <f>W!A178</f>
        <v>None</v>
      </c>
      <c r="X39" s="28"/>
      <c r="Y39" s="170" t="str">
        <f>W!A179</f>
        <v>Minor</v>
      </c>
      <c r="Z39" s="28"/>
      <c r="AA39" s="24"/>
      <c r="AC39" s="19"/>
      <c r="AD39" s="96"/>
      <c r="AE39" s="96"/>
      <c r="AF39" s="44"/>
      <c r="AG39" s="28"/>
      <c r="AH39" s="44"/>
      <c r="AI39" s="28"/>
      <c r="AJ39" s="44"/>
      <c r="AK39" s="28"/>
      <c r="AL39" s="19"/>
    </row>
    <row r="40" spans="2:38" ht="9" customHeight="1">
      <c r="B40" s="127"/>
      <c r="C40" s="19"/>
      <c r="D40" s="19"/>
      <c r="E40" s="19"/>
      <c r="F40" s="19"/>
      <c r="G40" s="19"/>
      <c r="H40" s="24"/>
      <c r="I40" s="19"/>
      <c r="R40" s="130"/>
      <c r="S40" s="62"/>
      <c r="T40" s="103"/>
      <c r="U40" s="62"/>
      <c r="V40" s="42"/>
      <c r="W40" s="62"/>
      <c r="X40" s="42"/>
      <c r="Y40" s="62"/>
      <c r="Z40" s="83"/>
      <c r="AA40" s="76"/>
      <c r="AC40" s="19"/>
      <c r="AD40" s="19"/>
      <c r="AE40" s="96"/>
      <c r="AF40" s="19"/>
      <c r="AG40" s="28"/>
      <c r="AH40" s="19"/>
      <c r="AI40" s="28"/>
      <c r="AJ40" s="19"/>
      <c r="AK40" s="28"/>
      <c r="AL40" s="19"/>
    </row>
    <row r="41" spans="2:38" ht="12">
      <c r="B41" s="127"/>
      <c r="C41" s="104" t="s">
        <v>136</v>
      </c>
      <c r="D41" s="19"/>
      <c r="E41" s="19"/>
      <c r="F41" s="19"/>
      <c r="G41" s="19"/>
      <c r="H41" s="24"/>
      <c r="I41" s="19"/>
      <c r="J41" s="125"/>
      <c r="K41" s="74"/>
      <c r="L41" s="74"/>
      <c r="M41" s="74"/>
      <c r="N41" s="74"/>
      <c r="O41" s="74"/>
      <c r="P41" s="84"/>
      <c r="R41" s="127"/>
      <c r="S41" s="81" t="s">
        <v>137</v>
      </c>
      <c r="T41" s="19"/>
      <c r="U41" s="53"/>
      <c r="V41" s="152"/>
      <c r="W41" s="44"/>
      <c r="X41" s="28"/>
      <c r="Y41" s="53"/>
      <c r="Z41" s="28"/>
      <c r="AA41" s="24"/>
      <c r="AC41" s="19"/>
      <c r="AD41" s="81"/>
      <c r="AE41" s="19"/>
      <c r="AF41" s="44"/>
      <c r="AG41" s="28"/>
      <c r="AH41" s="44"/>
      <c r="AI41" s="28"/>
      <c r="AJ41" s="44"/>
      <c r="AK41" s="28"/>
      <c r="AL41" s="19"/>
    </row>
    <row r="42" spans="2:38" ht="12">
      <c r="B42" s="127"/>
      <c r="C42" s="28" t="s">
        <v>138</v>
      </c>
      <c r="D42" s="19"/>
      <c r="E42" s="19"/>
      <c r="F42" s="19"/>
      <c r="G42" s="44">
        <f>W!A318</f>
        <v>10</v>
      </c>
      <c r="H42" s="24"/>
      <c r="I42" s="19"/>
      <c r="J42" s="127"/>
      <c r="K42" s="22" t="s">
        <v>139</v>
      </c>
      <c r="N42" s="21" t="s">
        <v>140</v>
      </c>
      <c r="P42" s="24"/>
      <c r="R42" s="127"/>
      <c r="S42" s="85" t="s">
        <v>141</v>
      </c>
      <c r="T42" s="19"/>
      <c r="U42" s="53">
        <f>W!A181</f>
        <v>0</v>
      </c>
      <c r="V42" s="152"/>
      <c r="W42" s="44">
        <f>W!A182</f>
        <v>0</v>
      </c>
      <c r="X42" s="28"/>
      <c r="Y42" s="53">
        <f>W!A183</f>
        <v>0</v>
      </c>
      <c r="Z42" s="28"/>
      <c r="AA42" s="24"/>
      <c r="AC42" s="19"/>
      <c r="AD42" s="85"/>
      <c r="AE42" s="19"/>
      <c r="AF42" s="44"/>
      <c r="AG42" s="28"/>
      <c r="AH42" s="44"/>
      <c r="AI42" s="28"/>
      <c r="AJ42" s="44"/>
      <c r="AK42" s="28"/>
      <c r="AL42" s="19"/>
    </row>
    <row r="43" spans="2:38">
      <c r="B43" s="127"/>
      <c r="C43" s="28" t="s">
        <v>142</v>
      </c>
      <c r="D43" s="19"/>
      <c r="E43" s="19"/>
      <c r="F43" s="19"/>
      <c r="G43" s="172">
        <f>W!A319</f>
        <v>79590</v>
      </c>
      <c r="H43" s="24"/>
      <c r="I43" s="19"/>
      <c r="J43" s="127"/>
      <c r="K43" s="18" t="s">
        <v>143</v>
      </c>
      <c r="N43" s="173">
        <f>0.00019*50*G10</f>
        <v>8.5499999999999989</v>
      </c>
      <c r="P43" s="24"/>
      <c r="R43" s="127"/>
      <c r="S43" s="85" t="s">
        <v>144</v>
      </c>
      <c r="T43" s="19"/>
      <c r="U43" s="53">
        <f>W!A54</f>
        <v>0</v>
      </c>
      <c r="V43" s="152"/>
      <c r="W43" s="53">
        <f>W!A55</f>
        <v>0</v>
      </c>
      <c r="X43" s="28"/>
      <c r="Y43" s="53">
        <f>W!A56</f>
        <v>0</v>
      </c>
      <c r="Z43" s="28"/>
      <c r="AA43" s="24"/>
      <c r="AC43" s="19"/>
      <c r="AD43" s="85"/>
      <c r="AE43" s="19"/>
      <c r="AF43" s="44"/>
      <c r="AG43" s="28"/>
      <c r="AH43" s="44"/>
      <c r="AI43" s="28"/>
      <c r="AJ43" s="44"/>
      <c r="AK43" s="28"/>
      <c r="AL43" s="19"/>
    </row>
    <row r="44" spans="2:38">
      <c r="B44" s="127"/>
      <c r="C44" s="28" t="s">
        <v>145</v>
      </c>
      <c r="D44" s="19"/>
      <c r="E44" s="19"/>
      <c r="F44" s="19"/>
      <c r="G44" s="172">
        <f>100-W!A320/10</f>
        <v>5.7999999999999972</v>
      </c>
      <c r="H44" s="24"/>
      <c r="I44" s="19"/>
      <c r="J44" s="127"/>
      <c r="K44" s="18" t="s">
        <v>146</v>
      </c>
      <c r="N44" s="174">
        <f>0.00052*(6*G25+O18)</f>
        <v>27.755519999999997</v>
      </c>
      <c r="P44" s="24"/>
      <c r="R44" s="127"/>
      <c r="S44" s="85" t="s">
        <v>147</v>
      </c>
      <c r="T44" s="19"/>
      <c r="U44" s="53">
        <f>W!A184</f>
        <v>0</v>
      </c>
      <c r="V44" s="152"/>
      <c r="W44" s="44">
        <f>W!A185</f>
        <v>0</v>
      </c>
      <c r="X44" s="28"/>
      <c r="Y44" s="53">
        <f>W!A186</f>
        <v>0</v>
      </c>
      <c r="Z44" s="28"/>
      <c r="AA44" s="24"/>
      <c r="AC44" s="19"/>
      <c r="AD44" s="85"/>
      <c r="AE44" s="19"/>
      <c r="AF44" s="44"/>
      <c r="AG44" s="28"/>
      <c r="AH44" s="44"/>
      <c r="AI44" s="28"/>
      <c r="AJ44" s="44"/>
      <c r="AK44" s="28"/>
      <c r="AL44" s="19"/>
    </row>
    <row r="45" spans="2:38">
      <c r="B45" s="127"/>
      <c r="C45" s="86" t="s">
        <v>148</v>
      </c>
      <c r="G45" s="18">
        <f>W!A329</f>
        <v>83</v>
      </c>
      <c r="H45" s="24"/>
      <c r="I45" s="19"/>
      <c r="J45" s="127"/>
      <c r="K45" s="18" t="s">
        <v>149</v>
      </c>
      <c r="N45" s="173">
        <f>N43+N44</f>
        <v>36.305519999999994</v>
      </c>
      <c r="P45" s="24"/>
      <c r="R45" s="127"/>
      <c r="S45" s="85" t="s">
        <v>150</v>
      </c>
      <c r="T45" s="19"/>
      <c r="U45" s="53">
        <f>W!A187</f>
        <v>0</v>
      </c>
      <c r="V45" s="152"/>
      <c r="W45" s="44">
        <f>W!A188</f>
        <v>0</v>
      </c>
      <c r="X45" s="28"/>
      <c r="Y45" s="53">
        <f>W!A189</f>
        <v>0</v>
      </c>
      <c r="Z45" s="28"/>
      <c r="AA45" s="24"/>
      <c r="AC45" s="19"/>
      <c r="AD45" s="85"/>
      <c r="AE45" s="19"/>
      <c r="AF45" s="44"/>
      <c r="AG45" s="28"/>
      <c r="AH45" s="44"/>
      <c r="AI45" s="28"/>
      <c r="AJ45" s="44"/>
      <c r="AK45" s="28"/>
      <c r="AL45" s="19"/>
    </row>
    <row r="46" spans="2:38" ht="8.25" customHeight="1">
      <c r="B46" s="130"/>
      <c r="C46" s="62"/>
      <c r="D46" s="62"/>
      <c r="E46" s="62"/>
      <c r="F46" s="62"/>
      <c r="G46" s="62"/>
      <c r="H46" s="76"/>
      <c r="I46" s="19"/>
      <c r="J46" s="130"/>
      <c r="K46" s="62"/>
      <c r="L46" s="62"/>
      <c r="M46" s="62"/>
      <c r="N46" s="62"/>
      <c r="O46" s="62"/>
      <c r="P46" s="76"/>
      <c r="R46" s="130"/>
      <c r="S46" s="62"/>
      <c r="T46" s="62"/>
      <c r="U46" s="130"/>
      <c r="V46" s="42"/>
      <c r="W46" s="62"/>
      <c r="X46" s="83"/>
      <c r="Y46" s="130"/>
      <c r="Z46" s="83"/>
      <c r="AA46" s="76"/>
      <c r="AC46" s="19"/>
      <c r="AD46" s="19"/>
      <c r="AE46" s="19"/>
      <c r="AF46" s="19"/>
      <c r="AG46" s="28"/>
      <c r="AH46" s="19"/>
      <c r="AI46" s="28"/>
      <c r="AJ46" s="19"/>
      <c r="AK46" s="28"/>
      <c r="AL46" s="19"/>
    </row>
    <row r="47" spans="2:38">
      <c r="C47" s="118" t="s">
        <v>151</v>
      </c>
      <c r="I47" s="19"/>
    </row>
    <row r="48" spans="2:38">
      <c r="D48" s="110"/>
      <c r="I48" s="19"/>
      <c r="M48" s="137" t="s">
        <v>4</v>
      </c>
    </row>
    <row r="49" spans="1:13">
      <c r="I49" s="19"/>
    </row>
    <row r="50" spans="1:13">
      <c r="A50" s="19"/>
      <c r="B50" s="19"/>
      <c r="D50" s="19"/>
      <c r="E50" s="19"/>
      <c r="F50" s="19"/>
      <c r="I50" s="19"/>
    </row>
    <row r="51" spans="1:13">
      <c r="B51" s="19"/>
      <c r="I51" s="19" t="s">
        <v>1</v>
      </c>
    </row>
    <row r="52" spans="1:13">
      <c r="B52" s="19"/>
      <c r="I52" s="19"/>
    </row>
    <row r="53" spans="1:13">
      <c r="B53" s="19"/>
      <c r="I53" s="19"/>
    </row>
    <row r="54" spans="1:13">
      <c r="B54" s="19"/>
      <c r="I54" s="19"/>
    </row>
    <row r="55" spans="1:13">
      <c r="B55" s="19"/>
      <c r="I55" s="19"/>
    </row>
    <row r="56" spans="1:13">
      <c r="B56" s="19"/>
      <c r="I56" s="19"/>
    </row>
    <row r="57" spans="1:13">
      <c r="B57" s="19"/>
      <c r="I57" s="19"/>
    </row>
    <row r="58" spans="1:13">
      <c r="B58" s="19"/>
      <c r="I58" s="19"/>
    </row>
    <row r="59" spans="1:13">
      <c r="B59" s="19"/>
      <c r="C59" s="19"/>
      <c r="D59" s="19"/>
      <c r="E59" s="19"/>
      <c r="F59" s="19"/>
      <c r="G59" s="19"/>
      <c r="H59" s="19"/>
      <c r="I59" s="19"/>
    </row>
    <row r="60" spans="1:13">
      <c r="J60" s="19"/>
      <c r="K60" s="19"/>
      <c r="L60" s="19"/>
      <c r="M60" s="19"/>
    </row>
    <row r="61" spans="1:13">
      <c r="H61" s="19"/>
      <c r="I61" s="19"/>
      <c r="J61" s="19"/>
      <c r="K61" s="19"/>
      <c r="L61" s="19"/>
      <c r="M61" s="19"/>
    </row>
    <row r="62" spans="1:13">
      <c r="H62" s="19"/>
      <c r="I62" s="19"/>
      <c r="J62" s="19"/>
      <c r="L62" s="19"/>
      <c r="M62" s="19"/>
    </row>
    <row r="63" spans="1:13">
      <c r="H63" s="19"/>
      <c r="I63" s="19"/>
      <c r="J63" s="19"/>
      <c r="L63" s="19"/>
      <c r="M63" s="19"/>
    </row>
    <row r="64" spans="1:13">
      <c r="H64" s="19"/>
      <c r="I64" s="19"/>
      <c r="J64" s="19"/>
      <c r="L64" s="19"/>
      <c r="M64" s="19"/>
    </row>
    <row r="65" spans="3:1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</sheetData>
  <phoneticPr fontId="14" type="noConversion"/>
  <pageMargins left="0.35433070866141736" right="0.15748031496062992" top="0.59055118110236227" bottom="0.39370078740157483" header="0.51181102362204722" footer="0.51181102362204722"/>
  <pageSetup paperSize="9" scale="92" firstPageNumber="0" orientation="landscape" horizontalDpi="300" verticalDpi="300" r:id="rId1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3"/>
  <dimension ref="A1:Z59"/>
  <sheetViews>
    <sheetView showGridLines="0" workbookViewId="0">
      <selection activeCell="C8" sqref="C8:C24"/>
    </sheetView>
  </sheetViews>
  <sheetFormatPr defaultColWidth="9.109375" defaultRowHeight="10.199999999999999"/>
  <cols>
    <col min="1" max="2" width="1.44140625" style="91" customWidth="1"/>
    <col min="3" max="6" width="7.6640625" style="91" customWidth="1"/>
    <col min="7" max="8" width="1.6640625" style="91" customWidth="1"/>
    <col min="9" max="12" width="7.6640625" style="91" customWidth="1"/>
    <col min="13" max="14" width="1.44140625" style="91" customWidth="1"/>
    <col min="15" max="18" width="7.6640625" style="91" customWidth="1"/>
    <col min="19" max="20" width="1.44140625" style="91" customWidth="1"/>
    <col min="21" max="24" width="7.6640625" style="91" customWidth="1"/>
    <col min="25" max="25" width="1.44140625" style="91" customWidth="1"/>
    <col min="26" max="16384" width="9.109375" style="91"/>
  </cols>
  <sheetData>
    <row r="1" spans="2:26" ht="15.6">
      <c r="D1" s="175" t="s">
        <v>11</v>
      </c>
      <c r="E1" s="15">
        <f>W!A1</f>
        <v>0</v>
      </c>
      <c r="F1" s="176" t="s">
        <v>10</v>
      </c>
      <c r="G1" s="18"/>
      <c r="I1" s="15">
        <f>W!A2</f>
        <v>0</v>
      </c>
      <c r="J1" s="18"/>
      <c r="K1" s="18"/>
      <c r="L1" s="18"/>
      <c r="M1" s="142" t="s">
        <v>152</v>
      </c>
      <c r="N1" s="18"/>
      <c r="O1" s="18"/>
      <c r="P1" s="18"/>
      <c r="Q1" s="18"/>
      <c r="S1" s="18"/>
      <c r="U1" s="14" t="s">
        <v>14</v>
      </c>
      <c r="V1" s="15">
        <f>W!A4</f>
        <v>2026</v>
      </c>
      <c r="W1" s="138" t="s">
        <v>15</v>
      </c>
      <c r="X1" s="15">
        <f>W!A5</f>
        <v>1</v>
      </c>
    </row>
    <row r="2" spans="2:26">
      <c r="B2" s="110"/>
      <c r="C2" s="110"/>
      <c r="T2" s="110"/>
      <c r="Y2" s="110"/>
    </row>
    <row r="3" spans="2:26">
      <c r="B3" s="105"/>
      <c r="C3" s="106"/>
      <c r="D3" s="106"/>
      <c r="E3" s="106"/>
      <c r="F3" s="106"/>
      <c r="G3" s="107"/>
      <c r="H3" s="106"/>
      <c r="I3" s="106"/>
      <c r="J3" s="106"/>
      <c r="K3" s="177"/>
      <c r="L3" s="177"/>
      <c r="M3" s="178"/>
      <c r="N3" s="177"/>
      <c r="O3" s="177"/>
      <c r="P3" s="177"/>
      <c r="Q3" s="177"/>
      <c r="R3" s="177"/>
      <c r="S3" s="179"/>
      <c r="T3" s="180"/>
      <c r="U3" s="177"/>
      <c r="V3" s="177"/>
      <c r="W3" s="177"/>
      <c r="X3" s="177"/>
      <c r="Y3" s="178"/>
      <c r="Z3" s="110"/>
    </row>
    <row r="4" spans="2:26">
      <c r="B4" s="181"/>
      <c r="C4" s="108" t="s">
        <v>153</v>
      </c>
      <c r="D4" s="108"/>
      <c r="E4" s="108"/>
      <c r="F4" s="182" t="s">
        <v>303</v>
      </c>
      <c r="G4" s="109"/>
      <c r="H4" s="108"/>
      <c r="I4" s="108"/>
      <c r="J4" s="108"/>
      <c r="K4" s="110"/>
      <c r="L4" s="110"/>
      <c r="M4" s="183"/>
      <c r="N4" s="110"/>
      <c r="O4" s="110"/>
      <c r="P4" s="110"/>
      <c r="Q4" s="110"/>
      <c r="R4" s="110"/>
      <c r="S4" s="184"/>
      <c r="T4" s="116"/>
      <c r="U4" s="110"/>
      <c r="V4" s="110"/>
      <c r="W4" s="110"/>
      <c r="X4" s="110"/>
      <c r="Y4" s="183"/>
      <c r="Z4" s="110"/>
    </row>
    <row r="5" spans="2:26">
      <c r="B5" s="181"/>
      <c r="C5" s="108"/>
      <c r="D5" s="108"/>
      <c r="E5" s="108"/>
      <c r="F5" s="108"/>
      <c r="G5" s="109"/>
      <c r="H5" s="108"/>
      <c r="I5" s="108"/>
      <c r="J5" s="108"/>
      <c r="K5" s="110"/>
      <c r="L5" s="110"/>
      <c r="M5" s="183"/>
      <c r="N5" s="110"/>
      <c r="O5" s="110"/>
      <c r="P5" s="110"/>
      <c r="Q5" s="110"/>
      <c r="R5" s="110"/>
      <c r="S5" s="184"/>
      <c r="T5" s="116"/>
      <c r="U5" s="110" t="s">
        <v>154</v>
      </c>
      <c r="V5" s="110"/>
      <c r="W5" s="110"/>
      <c r="X5" s="110"/>
      <c r="Y5" s="183"/>
      <c r="Z5" s="110"/>
    </row>
    <row r="6" spans="2:26">
      <c r="B6" s="181"/>
      <c r="C6" s="110" t="s">
        <v>155</v>
      </c>
      <c r="D6" s="108"/>
      <c r="E6" s="108"/>
      <c r="F6" s="111"/>
      <c r="G6" s="109"/>
      <c r="H6" s="108"/>
      <c r="I6" s="110" t="s">
        <v>156</v>
      </c>
      <c r="J6" s="108"/>
      <c r="K6" s="110"/>
      <c r="L6" s="111"/>
      <c r="M6" s="183"/>
      <c r="N6" s="110"/>
      <c r="O6" s="110" t="s">
        <v>157</v>
      </c>
      <c r="P6" s="108"/>
      <c r="Q6" s="110"/>
      <c r="R6" s="111"/>
      <c r="S6" s="183"/>
      <c r="T6" s="110"/>
      <c r="U6" s="110" t="s">
        <v>158</v>
      </c>
      <c r="V6" s="110"/>
      <c r="W6" s="110"/>
      <c r="X6" s="111"/>
      <c r="Y6" s="183"/>
    </row>
    <row r="7" spans="2:26">
      <c r="B7" s="181"/>
      <c r="C7" s="108"/>
      <c r="D7" s="108"/>
      <c r="E7" s="108"/>
      <c r="F7" s="111"/>
      <c r="G7" s="109"/>
      <c r="H7" s="108"/>
      <c r="I7" s="108"/>
      <c r="J7" s="108"/>
      <c r="K7" s="110"/>
      <c r="L7" s="111"/>
      <c r="M7" s="183"/>
      <c r="N7" s="110"/>
      <c r="O7" s="108"/>
      <c r="P7" s="108"/>
      <c r="Q7" s="110"/>
      <c r="R7" s="111"/>
      <c r="S7" s="183"/>
      <c r="T7" s="110"/>
      <c r="U7" s="108"/>
      <c r="V7" s="110"/>
      <c r="W7" s="110"/>
      <c r="X7" s="111"/>
      <c r="Y7" s="183"/>
    </row>
    <row r="8" spans="2:26">
      <c r="B8" s="181"/>
      <c r="C8" s="110" t="s">
        <v>159</v>
      </c>
      <c r="D8" s="110"/>
      <c r="E8" s="110"/>
      <c r="F8" s="185">
        <f>W!A201</f>
        <v>360000</v>
      </c>
      <c r="G8" s="183"/>
      <c r="H8" s="110"/>
      <c r="I8" s="110" t="s">
        <v>160</v>
      </c>
      <c r="J8" s="110"/>
      <c r="K8" s="110"/>
      <c r="L8" s="185">
        <f>W!A241</f>
        <v>2319070</v>
      </c>
      <c r="M8" s="183"/>
      <c r="N8" s="110"/>
      <c r="O8" s="108" t="s">
        <v>161</v>
      </c>
      <c r="P8" s="108"/>
      <c r="Q8" s="110"/>
      <c r="R8" s="110"/>
      <c r="S8" s="183"/>
      <c r="T8" s="110"/>
      <c r="U8" s="112" t="s">
        <v>25</v>
      </c>
      <c r="Y8" s="183"/>
    </row>
    <row r="9" spans="2:26">
      <c r="B9" s="181"/>
      <c r="C9" s="113" t="s">
        <v>162</v>
      </c>
      <c r="D9" s="110"/>
      <c r="E9" s="110"/>
      <c r="F9" s="185">
        <f>W!A202</f>
        <v>103070</v>
      </c>
      <c r="G9" s="183"/>
      <c r="H9" s="110"/>
      <c r="I9" s="110"/>
      <c r="J9" s="110"/>
      <c r="K9" s="110"/>
      <c r="L9" s="185"/>
      <c r="M9" s="183"/>
      <c r="N9" s="110"/>
      <c r="O9" s="91" t="s">
        <v>163</v>
      </c>
      <c r="Q9" s="186"/>
      <c r="R9" s="186">
        <f>W!A261</f>
        <v>450000</v>
      </c>
      <c r="S9" s="183"/>
      <c r="T9" s="110"/>
      <c r="U9" s="110" t="s">
        <v>164</v>
      </c>
      <c r="V9" s="110"/>
      <c r="W9" s="110"/>
      <c r="X9" s="185">
        <f>W!A221</f>
        <v>2391823</v>
      </c>
      <c r="Y9" s="183"/>
    </row>
    <row r="10" spans="2:26">
      <c r="B10" s="181"/>
      <c r="C10" s="110" t="s">
        <v>165</v>
      </c>
      <c r="D10" s="110"/>
      <c r="E10" s="110"/>
      <c r="F10" s="185">
        <f>W!A203</f>
        <v>35110</v>
      </c>
      <c r="G10" s="183"/>
      <c r="H10" s="110"/>
      <c r="I10" s="110" t="s">
        <v>166</v>
      </c>
      <c r="J10" s="110"/>
      <c r="K10" s="110"/>
      <c r="L10" s="185">
        <f>W!A242</f>
        <v>99633</v>
      </c>
      <c r="M10" s="183"/>
      <c r="N10" s="110"/>
      <c r="O10" s="110" t="s">
        <v>167</v>
      </c>
      <c r="P10" s="110"/>
      <c r="Q10" s="186"/>
      <c r="R10" s="186">
        <f>W!A262</f>
        <v>450000</v>
      </c>
      <c r="S10" s="183"/>
      <c r="T10" s="110"/>
      <c r="U10" s="110" t="s">
        <v>168</v>
      </c>
      <c r="V10" s="110"/>
      <c r="W10" s="110"/>
      <c r="X10" s="185">
        <f>W!A222</f>
        <v>0</v>
      </c>
      <c r="Y10" s="183"/>
    </row>
    <row r="11" spans="2:26">
      <c r="B11" s="181"/>
      <c r="C11" s="110" t="s">
        <v>169</v>
      </c>
      <c r="D11" s="110"/>
      <c r="E11" s="110"/>
      <c r="F11" s="185">
        <f>W!A204</f>
        <v>256717</v>
      </c>
      <c r="G11" s="183"/>
      <c r="H11" s="110"/>
      <c r="I11" s="171" t="s">
        <v>170</v>
      </c>
      <c r="L11" s="185">
        <f>W!A243</f>
        <v>0</v>
      </c>
      <c r="M11" s="183"/>
      <c r="N11" s="110"/>
      <c r="O11" s="110" t="s">
        <v>171</v>
      </c>
      <c r="P11" s="110"/>
      <c r="Q11" s="110"/>
      <c r="R11" s="187">
        <f>W!A263</f>
        <v>2236530</v>
      </c>
      <c r="S11" s="183"/>
      <c r="T11" s="110"/>
      <c r="U11" s="110" t="s">
        <v>172</v>
      </c>
      <c r="V11" s="110"/>
      <c r="W11" s="110"/>
      <c r="X11" s="185">
        <f>W!A223</f>
        <v>1864405</v>
      </c>
      <c r="Y11" s="183"/>
    </row>
    <row r="12" spans="2:26">
      <c r="B12" s="181"/>
      <c r="C12" s="110" t="s">
        <v>173</v>
      </c>
      <c r="D12" s="110"/>
      <c r="E12" s="110"/>
      <c r="F12" s="185">
        <f>W!A205</f>
        <v>23555</v>
      </c>
      <c r="G12" s="183"/>
      <c r="H12" s="110"/>
      <c r="I12" s="110" t="s">
        <v>174</v>
      </c>
      <c r="J12" s="110"/>
      <c r="K12" s="110"/>
      <c r="L12" s="185">
        <f>W!A244</f>
        <v>233882</v>
      </c>
      <c r="M12" s="183"/>
      <c r="N12" s="110"/>
      <c r="O12" s="110" t="s">
        <v>175</v>
      </c>
      <c r="P12" s="110"/>
      <c r="Q12" s="110"/>
      <c r="R12" s="185">
        <f>SUM(R9:R11)</f>
        <v>3136530</v>
      </c>
      <c r="S12" s="183"/>
      <c r="T12" s="110"/>
      <c r="U12" s="110" t="s">
        <v>176</v>
      </c>
      <c r="V12" s="110"/>
      <c r="W12" s="110"/>
      <c r="X12" s="188">
        <f>W!A224</f>
        <v>0</v>
      </c>
      <c r="Y12" s="183"/>
    </row>
    <row r="13" spans="2:26">
      <c r="B13" s="181"/>
      <c r="C13" s="110" t="s">
        <v>177</v>
      </c>
      <c r="D13" s="110"/>
      <c r="E13" s="110"/>
      <c r="F13" s="185">
        <f>W!A206</f>
        <v>24090</v>
      </c>
      <c r="G13" s="183"/>
      <c r="H13" s="110"/>
      <c r="I13" s="110" t="s">
        <v>178</v>
      </c>
      <c r="J13" s="110"/>
      <c r="K13" s="110"/>
      <c r="L13" s="185">
        <f>W!A245</f>
        <v>121536</v>
      </c>
      <c r="M13" s="183"/>
      <c r="N13" s="110"/>
      <c r="S13" s="183"/>
      <c r="T13" s="110"/>
      <c r="U13" s="171" t="s">
        <v>179</v>
      </c>
      <c r="X13" s="186">
        <f>X9+X10-X11-X12</f>
        <v>527418</v>
      </c>
      <c r="Y13" s="183"/>
    </row>
    <row r="14" spans="2:26">
      <c r="B14" s="181"/>
      <c r="C14" s="110" t="s">
        <v>180</v>
      </c>
      <c r="D14" s="110"/>
      <c r="E14" s="110"/>
      <c r="F14" s="185">
        <f>W!A207</f>
        <v>90000</v>
      </c>
      <c r="G14" s="183"/>
      <c r="H14" s="110"/>
      <c r="I14" s="110" t="s">
        <v>181</v>
      </c>
      <c r="J14" s="110"/>
      <c r="K14" s="110"/>
      <c r="L14" s="185">
        <f>W!A246</f>
        <v>274560</v>
      </c>
      <c r="M14" s="183"/>
      <c r="N14" s="110"/>
      <c r="O14" s="112" t="s">
        <v>182</v>
      </c>
      <c r="S14" s="183"/>
      <c r="T14" s="110"/>
      <c r="Y14" s="183"/>
    </row>
    <row r="15" spans="2:26">
      <c r="B15" s="181"/>
      <c r="C15" s="113" t="s">
        <v>183</v>
      </c>
      <c r="D15" s="110"/>
      <c r="E15" s="110"/>
      <c r="F15" s="185">
        <f>W!A208</f>
        <v>30000</v>
      </c>
      <c r="G15" s="183"/>
      <c r="H15" s="110"/>
      <c r="I15" s="110" t="s">
        <v>184</v>
      </c>
      <c r="J15" s="110"/>
      <c r="K15" s="110"/>
      <c r="L15" s="185">
        <f>W!A247</f>
        <v>149160</v>
      </c>
      <c r="M15" s="183"/>
      <c r="N15" s="110"/>
      <c r="O15" s="110" t="s">
        <v>185</v>
      </c>
      <c r="P15" s="110"/>
      <c r="Q15" s="110"/>
      <c r="R15" s="185">
        <f>W!A265</f>
        <v>12168</v>
      </c>
      <c r="S15" s="183"/>
      <c r="T15" s="110"/>
      <c r="U15" s="112" t="s">
        <v>186</v>
      </c>
      <c r="Y15" s="183"/>
    </row>
    <row r="16" spans="2:26">
      <c r="B16" s="181"/>
      <c r="C16" s="110" t="s">
        <v>187</v>
      </c>
      <c r="D16" s="110"/>
      <c r="E16" s="110"/>
      <c r="F16" s="185">
        <f>W!A209</f>
        <v>12000</v>
      </c>
      <c r="G16" s="183"/>
      <c r="H16" s="110"/>
      <c r="I16" s="110" t="s">
        <v>188</v>
      </c>
      <c r="J16" s="110"/>
      <c r="K16" s="110"/>
      <c r="L16" s="185">
        <f>W!A248</f>
        <v>4996</v>
      </c>
      <c r="M16" s="183"/>
      <c r="N16" s="110"/>
      <c r="O16" s="171" t="s">
        <v>189</v>
      </c>
      <c r="R16" s="185">
        <f>W!A266</f>
        <v>0</v>
      </c>
      <c r="S16" s="183"/>
      <c r="T16" s="110"/>
      <c r="U16" s="110" t="s">
        <v>190</v>
      </c>
      <c r="V16" s="110"/>
      <c r="W16" s="110"/>
      <c r="X16" s="185">
        <f>W!A225</f>
        <v>0</v>
      </c>
      <c r="Y16" s="183"/>
    </row>
    <row r="17" spans="2:25">
      <c r="B17" s="181"/>
      <c r="C17" s="110" t="s">
        <v>191</v>
      </c>
      <c r="D17" s="110"/>
      <c r="E17" s="110"/>
      <c r="F17" s="185">
        <f>W!A210</f>
        <v>23375</v>
      </c>
      <c r="G17" s="183"/>
      <c r="H17" s="110"/>
      <c r="I17" s="110" t="s">
        <v>192</v>
      </c>
      <c r="L17" s="185">
        <f>W!A249</f>
        <v>73350</v>
      </c>
      <c r="M17" s="183"/>
      <c r="N17" s="110"/>
      <c r="O17" s="110" t="s">
        <v>193</v>
      </c>
      <c r="P17" s="110"/>
      <c r="Q17" s="110"/>
      <c r="R17" s="185">
        <f>W!A267</f>
        <v>0</v>
      </c>
      <c r="S17" s="183"/>
      <c r="T17" s="110"/>
      <c r="U17" s="110" t="s">
        <v>194</v>
      </c>
      <c r="X17" s="185">
        <f>W!A226</f>
        <v>0</v>
      </c>
      <c r="Y17" s="183"/>
    </row>
    <row r="18" spans="2:25">
      <c r="B18" s="181"/>
      <c r="C18" s="110" t="s">
        <v>195</v>
      </c>
      <c r="D18" s="110"/>
      <c r="E18" s="110"/>
      <c r="F18" s="185">
        <f>W!A211</f>
        <v>7655</v>
      </c>
      <c r="G18" s="183"/>
      <c r="H18" s="110"/>
      <c r="I18" s="116" t="s">
        <v>196</v>
      </c>
      <c r="J18" s="110"/>
      <c r="K18" s="110"/>
      <c r="L18" s="188">
        <f>W!A250</f>
        <v>12168</v>
      </c>
      <c r="M18" s="183"/>
      <c r="N18" s="110"/>
      <c r="O18" s="110" t="s">
        <v>197</v>
      </c>
      <c r="P18" s="110"/>
      <c r="Q18" s="110"/>
      <c r="R18" s="185">
        <f>W!A268</f>
        <v>1378455</v>
      </c>
      <c r="S18" s="183"/>
      <c r="T18" s="110"/>
      <c r="U18" s="110" t="s">
        <v>198</v>
      </c>
      <c r="V18" s="110"/>
      <c r="W18" s="110"/>
      <c r="X18" s="188">
        <f>W!A227</f>
        <v>0</v>
      </c>
      <c r="Y18" s="183"/>
    </row>
    <row r="19" spans="2:25">
      <c r="B19" s="181"/>
      <c r="C19" s="110" t="s">
        <v>199</v>
      </c>
      <c r="D19" s="110"/>
      <c r="E19" s="110"/>
      <c r="F19" s="185">
        <f>W!A212</f>
        <v>7500</v>
      </c>
      <c r="G19" s="183"/>
      <c r="H19" s="110"/>
      <c r="I19" s="110" t="s">
        <v>200</v>
      </c>
      <c r="J19" s="110"/>
      <c r="K19" s="110"/>
      <c r="L19" s="189">
        <f>W!A251</f>
        <v>944949</v>
      </c>
      <c r="M19" s="183"/>
      <c r="N19" s="110"/>
      <c r="O19" s="110" t="s">
        <v>201</v>
      </c>
      <c r="P19" s="110"/>
      <c r="Q19" s="110"/>
      <c r="R19" s="188">
        <f>W!A269</f>
        <v>1390772</v>
      </c>
      <c r="S19" s="183"/>
      <c r="T19" s="110"/>
      <c r="U19" s="171" t="s">
        <v>202</v>
      </c>
      <c r="X19" s="186">
        <f>X16+X17-X18</f>
        <v>0</v>
      </c>
      <c r="Y19" s="183"/>
    </row>
    <row r="20" spans="2:25">
      <c r="B20" s="181"/>
      <c r="C20" s="110" t="s">
        <v>203</v>
      </c>
      <c r="D20" s="110"/>
      <c r="E20" s="110"/>
      <c r="F20" s="185">
        <f>W!A213</f>
        <v>4742</v>
      </c>
      <c r="G20" s="183"/>
      <c r="H20" s="110"/>
      <c r="I20" s="110" t="s">
        <v>204</v>
      </c>
      <c r="J20" s="110"/>
      <c r="K20" s="110"/>
      <c r="L20" s="185">
        <f>W!A252</f>
        <v>1374121</v>
      </c>
      <c r="M20" s="183"/>
      <c r="N20" s="110"/>
      <c r="O20" s="171" t="s">
        <v>205</v>
      </c>
      <c r="R20" s="190">
        <f>SUM(R15:R19)</f>
        <v>2781395</v>
      </c>
      <c r="S20" s="183"/>
      <c r="T20" s="110"/>
      <c r="Y20" s="183"/>
    </row>
    <row r="21" spans="2:25">
      <c r="B21" s="181"/>
      <c r="C21" s="110" t="s">
        <v>206</v>
      </c>
      <c r="D21" s="110"/>
      <c r="E21" s="110"/>
      <c r="F21" s="185">
        <f>W!A214</f>
        <v>11527</v>
      </c>
      <c r="G21" s="183"/>
      <c r="H21" s="110"/>
      <c r="I21" s="110" t="s">
        <v>207</v>
      </c>
      <c r="J21" s="110"/>
      <c r="K21" s="110"/>
      <c r="L21" s="185">
        <f>W!A217</f>
        <v>1123793</v>
      </c>
      <c r="M21" s="183"/>
      <c r="N21" s="110"/>
      <c r="O21" s="110" t="s">
        <v>208</v>
      </c>
      <c r="P21" s="110"/>
      <c r="Q21" s="110"/>
      <c r="R21" s="185">
        <f>R12+R20</f>
        <v>5917925</v>
      </c>
      <c r="S21" s="183"/>
      <c r="T21" s="110"/>
      <c r="U21" s="112" t="s">
        <v>209</v>
      </c>
      <c r="Y21" s="183"/>
    </row>
    <row r="22" spans="2:25">
      <c r="B22" s="181"/>
      <c r="C22" s="110" t="s">
        <v>210</v>
      </c>
      <c r="D22" s="110"/>
      <c r="E22" s="110"/>
      <c r="F22" s="185">
        <f>W!A215</f>
        <v>115000</v>
      </c>
      <c r="G22" s="183"/>
      <c r="H22" s="110"/>
      <c r="I22" s="110" t="s">
        <v>168</v>
      </c>
      <c r="J22" s="110"/>
      <c r="K22" s="110"/>
      <c r="L22" s="185">
        <f>W!A222</f>
        <v>0</v>
      </c>
      <c r="M22" s="183"/>
      <c r="N22" s="110"/>
      <c r="S22" s="183"/>
      <c r="T22" s="110"/>
      <c r="U22" s="91" t="s">
        <v>211</v>
      </c>
      <c r="X22" s="185">
        <f>W!A228</f>
        <v>0</v>
      </c>
      <c r="Y22" s="183"/>
    </row>
    <row r="23" spans="2:25">
      <c r="B23" s="181"/>
      <c r="C23" s="110" t="s">
        <v>212</v>
      </c>
      <c r="D23" s="110"/>
      <c r="E23" s="110"/>
      <c r="F23" s="188">
        <f>W!A216</f>
        <v>19452</v>
      </c>
      <c r="G23" s="183"/>
      <c r="H23" s="110"/>
      <c r="I23" s="110" t="s">
        <v>213</v>
      </c>
      <c r="J23" s="110"/>
      <c r="K23" s="110"/>
      <c r="L23" s="187">
        <f>W!A254</f>
        <v>57349</v>
      </c>
      <c r="M23" s="183"/>
      <c r="N23" s="110"/>
      <c r="O23" s="108" t="s">
        <v>214</v>
      </c>
      <c r="P23" s="110"/>
      <c r="Q23" s="110"/>
      <c r="R23" s="185"/>
      <c r="S23" s="183"/>
      <c r="T23" s="110"/>
      <c r="U23" s="91" t="s">
        <v>215</v>
      </c>
      <c r="V23" s="110"/>
      <c r="W23" s="110"/>
      <c r="X23" s="185">
        <f>W!A229</f>
        <v>0</v>
      </c>
      <c r="Y23" s="183"/>
    </row>
    <row r="24" spans="2:25">
      <c r="B24" s="181"/>
      <c r="C24" s="110" t="s">
        <v>216</v>
      </c>
      <c r="D24" s="108"/>
      <c r="E24" s="110"/>
      <c r="F24" s="188">
        <f>W!A217</f>
        <v>1123793</v>
      </c>
      <c r="G24" s="183"/>
      <c r="H24" s="110"/>
      <c r="I24" s="171" t="s">
        <v>217</v>
      </c>
      <c r="L24" s="185">
        <f>L20-L21+L22-L23</f>
        <v>192979</v>
      </c>
      <c r="M24" s="183"/>
      <c r="N24" s="110"/>
      <c r="O24" s="110" t="s">
        <v>218</v>
      </c>
      <c r="P24" s="110"/>
      <c r="Q24" s="110"/>
      <c r="R24" s="185">
        <f>W!A271</f>
        <v>201231</v>
      </c>
      <c r="S24" s="183"/>
      <c r="T24" s="110"/>
      <c r="U24" s="110" t="s">
        <v>219</v>
      </c>
      <c r="V24" s="110"/>
      <c r="W24" s="110"/>
      <c r="X24" s="185">
        <f>W!A230</f>
        <v>0</v>
      </c>
      <c r="Y24" s="183"/>
    </row>
    <row r="25" spans="2:25">
      <c r="B25" s="181"/>
      <c r="C25" s="110"/>
      <c r="F25" s="114"/>
      <c r="G25" s="183"/>
      <c r="H25" s="110"/>
      <c r="I25" s="110" t="s">
        <v>190</v>
      </c>
      <c r="J25" s="110"/>
      <c r="K25" s="110"/>
      <c r="L25" s="185">
        <f>W!A225</f>
        <v>0</v>
      </c>
      <c r="M25" s="183"/>
      <c r="N25" s="110"/>
      <c r="O25" s="113" t="s">
        <v>220</v>
      </c>
      <c r="P25" s="110"/>
      <c r="Q25" s="110"/>
      <c r="R25" s="185">
        <f>W!A272</f>
        <v>635411</v>
      </c>
      <c r="S25" s="183"/>
      <c r="T25" s="110"/>
      <c r="U25" s="110" t="s">
        <v>221</v>
      </c>
      <c r="V25" s="110"/>
      <c r="W25" s="110"/>
      <c r="X25" s="185">
        <f>W!A231</f>
        <v>0</v>
      </c>
      <c r="Y25" s="183"/>
    </row>
    <row r="26" spans="2:25">
      <c r="B26" s="181"/>
      <c r="C26" s="115" t="s">
        <v>222</v>
      </c>
      <c r="D26" s="110"/>
      <c r="E26" s="110"/>
      <c r="F26" s="185"/>
      <c r="G26" s="183"/>
      <c r="H26" s="110"/>
      <c r="I26" s="110" t="s">
        <v>223</v>
      </c>
      <c r="J26" s="110"/>
      <c r="K26" s="110"/>
      <c r="L26" s="188">
        <f>W!A232</f>
        <v>0</v>
      </c>
      <c r="M26" s="183"/>
      <c r="N26" s="110"/>
      <c r="O26" s="110" t="s">
        <v>224</v>
      </c>
      <c r="P26" s="110"/>
      <c r="Q26" s="110"/>
      <c r="R26" s="188">
        <f>W!A273</f>
        <v>0</v>
      </c>
      <c r="S26" s="183"/>
      <c r="T26" s="110"/>
      <c r="U26" s="110" t="s">
        <v>223</v>
      </c>
      <c r="V26" s="110"/>
      <c r="W26" s="110"/>
      <c r="X26" s="188">
        <f>W!A232</f>
        <v>0</v>
      </c>
      <c r="Y26" s="183"/>
    </row>
    <row r="27" spans="2:25">
      <c r="B27" s="181"/>
      <c r="C27" s="171" t="s">
        <v>225</v>
      </c>
      <c r="D27" s="110"/>
      <c r="E27" s="110"/>
      <c r="F27" s="186">
        <f>L27</f>
        <v>192979</v>
      </c>
      <c r="G27" s="183"/>
      <c r="H27" s="110"/>
      <c r="I27" s="171" t="s">
        <v>226</v>
      </c>
      <c r="J27" s="110"/>
      <c r="K27" s="110"/>
      <c r="L27" s="186">
        <f>L24+L25-L26</f>
        <v>192979</v>
      </c>
      <c r="M27" s="183"/>
      <c r="N27" s="110"/>
      <c r="O27" s="116" t="s">
        <v>227</v>
      </c>
      <c r="P27" s="110"/>
      <c r="Q27" s="110"/>
      <c r="R27" s="185">
        <f>SUM(R24:R26)</f>
        <v>836642</v>
      </c>
      <c r="S27" s="183"/>
      <c r="T27" s="110"/>
      <c r="U27" s="171" t="s">
        <v>228</v>
      </c>
      <c r="X27" s="186">
        <f>X22-X23-X24+X25-X26</f>
        <v>0</v>
      </c>
      <c r="Y27" s="183"/>
    </row>
    <row r="28" spans="2:25">
      <c r="B28" s="181"/>
      <c r="C28" s="171" t="s">
        <v>229</v>
      </c>
      <c r="D28" s="110"/>
      <c r="E28" s="110"/>
      <c r="F28" s="188">
        <f>W!A240</f>
        <v>0</v>
      </c>
      <c r="G28" s="183"/>
      <c r="H28" s="110"/>
      <c r="I28" s="110" t="s">
        <v>230</v>
      </c>
      <c r="J28" s="110"/>
      <c r="K28" s="110"/>
      <c r="L28" s="188">
        <f>W!A255</f>
        <v>0</v>
      </c>
      <c r="M28" s="183"/>
      <c r="N28" s="110"/>
      <c r="O28" s="110" t="s">
        <v>231</v>
      </c>
      <c r="P28" s="110"/>
      <c r="Q28" s="110"/>
      <c r="R28" s="185">
        <f>W!A274</f>
        <v>0</v>
      </c>
      <c r="S28" s="183"/>
      <c r="X28" s="117"/>
      <c r="Y28" s="183"/>
    </row>
    <row r="29" spans="2:25">
      <c r="B29" s="181"/>
      <c r="C29" s="171" t="s">
        <v>232</v>
      </c>
      <c r="F29" s="186">
        <f>W!A257</f>
        <v>192979</v>
      </c>
      <c r="G29" s="183"/>
      <c r="H29" s="110"/>
      <c r="I29" s="110" t="s">
        <v>233</v>
      </c>
      <c r="J29" s="110"/>
      <c r="K29" s="110"/>
      <c r="L29" s="185">
        <f>W!A256</f>
        <v>192979</v>
      </c>
      <c r="M29" s="183"/>
      <c r="N29" s="110"/>
      <c r="S29" s="183"/>
      <c r="U29" s="110" t="s">
        <v>234</v>
      </c>
      <c r="V29" s="110"/>
      <c r="W29" s="110"/>
      <c r="X29" s="186">
        <f>W!A233</f>
        <v>527418</v>
      </c>
      <c r="Y29" s="183"/>
    </row>
    <row r="30" spans="2:25">
      <c r="B30" s="181"/>
      <c r="C30" s="110"/>
      <c r="G30" s="183"/>
      <c r="H30" s="110"/>
      <c r="I30" s="171" t="s">
        <v>318</v>
      </c>
      <c r="L30" s="191">
        <f>IF(R33&gt;0,100*L29/R33,0)</f>
        <v>4.8244749999999996</v>
      </c>
      <c r="M30" s="183"/>
      <c r="N30" s="110"/>
      <c r="O30" s="110" t="s">
        <v>235</v>
      </c>
      <c r="P30" s="110"/>
      <c r="Q30" s="110"/>
      <c r="R30" s="185">
        <f>R21-R27-R28</f>
        <v>5081283</v>
      </c>
      <c r="S30" s="183"/>
      <c r="U30" s="171" t="s">
        <v>236</v>
      </c>
      <c r="V30" s="110"/>
      <c r="W30" s="110"/>
      <c r="X30" s="187">
        <f>W!A234</f>
        <v>863354</v>
      </c>
      <c r="Y30" s="183"/>
    </row>
    <row r="31" spans="2:25">
      <c r="B31" s="181"/>
      <c r="C31" s="110"/>
      <c r="G31" s="183"/>
      <c r="H31" s="110"/>
      <c r="M31" s="183"/>
      <c r="N31" s="110"/>
      <c r="S31" s="183"/>
      <c r="U31" s="171" t="s">
        <v>237</v>
      </c>
      <c r="X31" s="110">
        <f>R19-R26</f>
        <v>1390772</v>
      </c>
      <c r="Y31" s="183"/>
    </row>
    <row r="32" spans="2:25">
      <c r="B32" s="181"/>
      <c r="G32" s="183"/>
      <c r="H32" s="110"/>
      <c r="I32" s="116" t="s">
        <v>238</v>
      </c>
      <c r="J32" s="110"/>
      <c r="K32" s="110"/>
      <c r="L32" s="188">
        <f>W!A230</f>
        <v>0</v>
      </c>
      <c r="M32" s="183"/>
      <c r="N32" s="110"/>
      <c r="O32" s="112" t="s">
        <v>239</v>
      </c>
      <c r="S32" s="183"/>
      <c r="U32" s="91" t="s">
        <v>240</v>
      </c>
      <c r="X32" s="186">
        <f>W!A270</f>
        <v>0</v>
      </c>
      <c r="Y32" s="192" t="s">
        <v>2</v>
      </c>
    </row>
    <row r="33" spans="1:25">
      <c r="B33" s="181"/>
      <c r="C33" s="110" t="s">
        <v>241</v>
      </c>
      <c r="D33" s="110"/>
      <c r="E33" s="110"/>
      <c r="F33" s="185">
        <f>W!A219</f>
        <v>600</v>
      </c>
      <c r="G33" s="183"/>
      <c r="H33" s="110"/>
      <c r="I33" s="110" t="s">
        <v>242</v>
      </c>
      <c r="J33" s="110"/>
      <c r="K33" s="110"/>
      <c r="L33" s="185">
        <f>L29-L32</f>
        <v>192979</v>
      </c>
      <c r="M33" s="183"/>
      <c r="O33" s="116" t="s">
        <v>243</v>
      </c>
      <c r="P33" s="110"/>
      <c r="Q33" s="110"/>
      <c r="R33" s="185">
        <f>W!A275</f>
        <v>4000000</v>
      </c>
      <c r="S33" s="183"/>
      <c r="Y33" s="183"/>
    </row>
    <row r="34" spans="1:25">
      <c r="B34" s="181"/>
      <c r="C34" s="171" t="s">
        <v>244</v>
      </c>
      <c r="D34" s="110"/>
      <c r="E34" s="110"/>
      <c r="F34" s="185">
        <f>W!A220</f>
        <v>6587</v>
      </c>
      <c r="G34" s="183"/>
      <c r="H34" s="110"/>
      <c r="I34" s="91" t="s">
        <v>245</v>
      </c>
      <c r="J34" s="110"/>
      <c r="K34" s="110"/>
      <c r="L34" s="188">
        <f>W!A260</f>
        <v>888304</v>
      </c>
      <c r="M34" s="183"/>
      <c r="O34" s="91" t="s">
        <v>246</v>
      </c>
      <c r="R34" s="185">
        <f>W!A276</f>
        <v>0</v>
      </c>
      <c r="S34" s="183"/>
      <c r="U34" s="110" t="s">
        <v>247</v>
      </c>
      <c r="V34" s="110"/>
      <c r="W34" s="110"/>
      <c r="X34" s="186">
        <f>W!A238</f>
        <v>860000</v>
      </c>
      <c r="Y34" s="183"/>
    </row>
    <row r="35" spans="1:25">
      <c r="B35" s="181"/>
      <c r="C35" s="110"/>
      <c r="G35" s="183"/>
      <c r="I35" s="91" t="s">
        <v>248</v>
      </c>
      <c r="L35" s="186">
        <f>L33+L34</f>
        <v>1081283</v>
      </c>
      <c r="M35" s="183"/>
      <c r="O35" s="110" t="s">
        <v>249</v>
      </c>
      <c r="P35" s="110"/>
      <c r="Q35" s="110"/>
      <c r="R35" s="188">
        <f>R36-R33-R34</f>
        <v>1081283</v>
      </c>
      <c r="S35" s="183"/>
      <c r="U35" s="110" t="s">
        <v>250</v>
      </c>
      <c r="V35" s="110"/>
      <c r="W35" s="110"/>
      <c r="X35" s="186">
        <f>W!A239</f>
        <v>1863000</v>
      </c>
      <c r="Y35" s="183"/>
    </row>
    <row r="36" spans="1:25">
      <c r="B36" s="181"/>
      <c r="G36" s="183"/>
      <c r="M36" s="183"/>
      <c r="O36" s="110" t="s">
        <v>251</v>
      </c>
      <c r="P36" s="110"/>
      <c r="Q36" s="110"/>
      <c r="R36" s="185">
        <f>W!A277</f>
        <v>5081283</v>
      </c>
      <c r="S36" s="183"/>
      <c r="Y36" s="183"/>
    </row>
    <row r="37" spans="1:25">
      <c r="B37" s="193"/>
      <c r="C37" s="194"/>
      <c r="D37" s="194"/>
      <c r="E37" s="194"/>
      <c r="F37" s="194"/>
      <c r="G37" s="194"/>
      <c r="H37" s="193"/>
      <c r="I37" s="194"/>
      <c r="J37" s="194"/>
      <c r="K37" s="194"/>
      <c r="L37" s="194"/>
      <c r="M37" s="195"/>
      <c r="N37" s="194"/>
      <c r="O37" s="194"/>
      <c r="P37" s="194"/>
      <c r="Q37" s="194"/>
      <c r="R37" s="194"/>
      <c r="S37" s="195"/>
      <c r="T37" s="194"/>
      <c r="U37" s="194"/>
      <c r="V37" s="194"/>
      <c r="W37" s="194"/>
      <c r="X37" s="194"/>
      <c r="Y37" s="195"/>
    </row>
    <row r="38" spans="1:25" ht="12.75" customHeight="1">
      <c r="B38" s="118" t="s">
        <v>151</v>
      </c>
    </row>
    <row r="39" spans="1:25">
      <c r="A39" s="110"/>
      <c r="B39" s="110"/>
      <c r="I39" s="171"/>
      <c r="L39" s="186"/>
      <c r="M39" s="137" t="s">
        <v>4</v>
      </c>
    </row>
    <row r="40" spans="1:25">
      <c r="A40" s="110"/>
      <c r="B40" s="110"/>
      <c r="I40" s="171"/>
      <c r="L40" s="186"/>
      <c r="M40" s="110"/>
      <c r="N40" s="110"/>
    </row>
    <row r="41" spans="1:25" ht="11.4">
      <c r="A41" s="110"/>
      <c r="B41" s="110"/>
      <c r="S41" s="18"/>
    </row>
    <row r="42" spans="1:25">
      <c r="A42" s="110"/>
      <c r="B42" s="110"/>
    </row>
    <row r="43" spans="1:25">
      <c r="A43" s="110"/>
      <c r="B43" s="110"/>
    </row>
    <row r="44" spans="1:25">
      <c r="A44" s="110"/>
      <c r="B44" s="110"/>
      <c r="W44" s="186"/>
    </row>
    <row r="45" spans="1:25">
      <c r="A45" s="110"/>
      <c r="B45" s="110"/>
      <c r="P45" s="91" t="s">
        <v>1</v>
      </c>
    </row>
    <row r="46" spans="1:25">
      <c r="A46" s="110"/>
      <c r="B46" s="110"/>
      <c r="I46" s="110"/>
      <c r="J46" s="110"/>
      <c r="K46" s="110" t="s">
        <v>1</v>
      </c>
      <c r="L46" s="185"/>
    </row>
    <row r="47" spans="1:25">
      <c r="A47" s="110"/>
      <c r="B47" s="110"/>
      <c r="I47" s="110"/>
      <c r="J47" s="110"/>
      <c r="K47" s="110"/>
      <c r="L47" s="185"/>
    </row>
    <row r="48" spans="1:25">
      <c r="A48" s="110"/>
      <c r="B48" s="110"/>
    </row>
    <row r="49" spans="1:2">
      <c r="A49" s="110"/>
      <c r="B49" s="110"/>
    </row>
    <row r="50" spans="1:2">
      <c r="A50" s="110"/>
      <c r="B50" s="110"/>
    </row>
    <row r="51" spans="1:2">
      <c r="A51" s="110"/>
      <c r="B51" s="110"/>
    </row>
    <row r="52" spans="1:2">
      <c r="A52" s="110"/>
      <c r="B52" s="110"/>
    </row>
    <row r="53" spans="1:2">
      <c r="A53" s="110"/>
      <c r="B53" s="110"/>
    </row>
    <row r="54" spans="1:2">
      <c r="A54" s="110"/>
      <c r="B54" s="110"/>
    </row>
    <row r="55" spans="1:2">
      <c r="A55" s="110"/>
      <c r="B55" s="110"/>
    </row>
    <row r="56" spans="1:2">
      <c r="A56" s="110"/>
      <c r="B56" s="110"/>
    </row>
    <row r="57" spans="1:2">
      <c r="A57" s="110"/>
      <c r="B57" s="110"/>
    </row>
    <row r="58" spans="1:2">
      <c r="A58" s="110"/>
      <c r="B58" s="110"/>
    </row>
    <row r="59" spans="1:2">
      <c r="A59" s="194"/>
      <c r="B59" s="110"/>
    </row>
  </sheetData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4"/>
  <dimension ref="B1:Q114"/>
  <sheetViews>
    <sheetView showGridLines="0" workbookViewId="0">
      <selection activeCell="C40" sqref="C40"/>
    </sheetView>
  </sheetViews>
  <sheetFormatPr defaultColWidth="9.109375" defaultRowHeight="11.4"/>
  <cols>
    <col min="1" max="1" width="2" style="18" customWidth="1"/>
    <col min="2" max="2" width="1.5546875" style="18" customWidth="1"/>
    <col min="3" max="3" width="11.109375" style="18" customWidth="1"/>
    <col min="4" max="8" width="8.6640625" style="18" customWidth="1"/>
    <col min="9" max="9" width="8.6640625" style="66" customWidth="1"/>
    <col min="10" max="13" width="8.6640625" style="18" customWidth="1"/>
    <col min="14" max="14" width="3" style="18" customWidth="1"/>
    <col min="15" max="16384" width="9.109375" style="18"/>
  </cols>
  <sheetData>
    <row r="1" spans="2:14" ht="13.8">
      <c r="B1" s="119"/>
      <c r="C1" s="22"/>
      <c r="F1" s="120"/>
      <c r="G1" s="196" t="s">
        <v>252</v>
      </c>
      <c r="I1" s="175" t="s">
        <v>11</v>
      </c>
      <c r="J1" s="15">
        <f>W!$A1</f>
        <v>0</v>
      </c>
      <c r="K1" s="175" t="s">
        <v>14</v>
      </c>
      <c r="L1" s="15">
        <f>W!$A4</f>
        <v>2026</v>
      </c>
      <c r="M1" s="175" t="s">
        <v>15</v>
      </c>
      <c r="N1" s="143">
        <f>W!$A5</f>
        <v>1</v>
      </c>
    </row>
    <row r="3" spans="2:14">
      <c r="B3" s="125"/>
      <c r="C3" s="74"/>
      <c r="D3" s="74"/>
      <c r="E3" s="74"/>
      <c r="F3" s="74"/>
      <c r="G3" s="74"/>
      <c r="H3" s="74"/>
      <c r="I3" s="126"/>
      <c r="J3" s="74"/>
      <c r="K3" s="74"/>
      <c r="L3" s="74"/>
      <c r="M3" s="74"/>
      <c r="N3" s="84"/>
    </row>
    <row r="4" spans="2:14" ht="12">
      <c r="B4" s="127"/>
      <c r="C4" s="96" t="s">
        <v>322</v>
      </c>
      <c r="D4" s="96"/>
      <c r="E4" s="96"/>
      <c r="F4" s="19"/>
      <c r="G4" s="35" t="s">
        <v>293</v>
      </c>
      <c r="H4" s="35" t="s">
        <v>319</v>
      </c>
      <c r="I4" s="28" t="s">
        <v>253</v>
      </c>
      <c r="K4" s="19"/>
      <c r="L4" s="19"/>
      <c r="M4" s="19"/>
      <c r="N4" s="24"/>
    </row>
    <row r="5" spans="2:14">
      <c r="B5" s="127"/>
      <c r="C5" s="100" t="s">
        <v>254</v>
      </c>
      <c r="D5" s="19"/>
      <c r="E5" s="19"/>
      <c r="F5" s="19"/>
      <c r="G5" s="35">
        <f>W!A505</f>
        <v>3969</v>
      </c>
      <c r="H5" s="35">
        <f>W!A506</f>
        <v>5240</v>
      </c>
      <c r="I5" s="35">
        <f>W!A504</f>
        <v>5390</v>
      </c>
      <c r="K5" s="28"/>
      <c r="M5" s="19"/>
      <c r="N5" s="24"/>
    </row>
    <row r="6" spans="2:14">
      <c r="B6" s="127"/>
      <c r="C6" s="100" t="s">
        <v>255</v>
      </c>
      <c r="D6" s="19"/>
      <c r="E6" s="19"/>
      <c r="F6" s="19"/>
      <c r="G6" s="197">
        <f>W!A507/10</f>
        <v>6.1</v>
      </c>
      <c r="H6" s="197">
        <f>W!A508/10</f>
        <v>9.3000000000000007</v>
      </c>
      <c r="I6" s="68"/>
      <c r="K6" s="28"/>
      <c r="L6" s="44"/>
      <c r="M6" s="19"/>
      <c r="N6" s="24"/>
    </row>
    <row r="7" spans="2:14">
      <c r="B7" s="127"/>
      <c r="C7" s="28" t="s">
        <v>256</v>
      </c>
      <c r="D7" s="19"/>
      <c r="E7" s="19"/>
      <c r="F7" s="19"/>
      <c r="G7" s="35">
        <f>W!A509</f>
        <v>1570</v>
      </c>
      <c r="H7" s="35">
        <f>W!A510</f>
        <v>-933</v>
      </c>
      <c r="I7" s="68"/>
      <c r="K7" s="28"/>
      <c r="L7" s="44"/>
      <c r="M7" s="19"/>
      <c r="N7" s="24"/>
    </row>
    <row r="8" spans="2:14">
      <c r="B8" s="127"/>
      <c r="C8" s="28"/>
      <c r="D8" s="19"/>
      <c r="E8" s="19"/>
      <c r="F8" s="19"/>
      <c r="H8" s="44"/>
      <c r="I8" s="35"/>
      <c r="K8" s="44"/>
      <c r="L8" s="44"/>
      <c r="M8" s="19"/>
      <c r="N8" s="24"/>
    </row>
    <row r="9" spans="2:14" ht="12">
      <c r="B9" s="127"/>
      <c r="C9" s="34" t="s">
        <v>257</v>
      </c>
      <c r="D9" s="19"/>
      <c r="E9" s="96"/>
      <c r="F9" s="19"/>
      <c r="H9" s="44"/>
      <c r="I9" s="35"/>
      <c r="K9" s="44"/>
      <c r="L9" s="44" t="s">
        <v>1</v>
      </c>
      <c r="M9" s="19"/>
      <c r="N9" s="24"/>
    </row>
    <row r="10" spans="2:14">
      <c r="B10" s="127"/>
      <c r="C10" s="100" t="s">
        <v>258</v>
      </c>
      <c r="D10" s="19"/>
      <c r="E10" s="19"/>
      <c r="F10" s="19"/>
      <c r="G10" s="197">
        <f>W!A501/10</f>
        <v>1.5</v>
      </c>
      <c r="H10" s="197">
        <f>W!A502/10</f>
        <v>1</v>
      </c>
      <c r="I10" s="28" t="s">
        <v>324</v>
      </c>
      <c r="J10" s="28"/>
      <c r="K10" s="44"/>
      <c r="L10" s="198">
        <f>W!A511/100</f>
        <v>1.1399999999999999</v>
      </c>
      <c r="M10" s="19"/>
      <c r="N10" s="24"/>
    </row>
    <row r="11" spans="2:14">
      <c r="B11" s="127"/>
      <c r="C11" s="28"/>
      <c r="D11" s="121"/>
      <c r="E11" s="121"/>
      <c r="F11" s="121"/>
      <c r="I11" s="35"/>
      <c r="K11" s="44"/>
      <c r="L11" s="44"/>
      <c r="M11" s="19"/>
      <c r="N11" s="24"/>
    </row>
    <row r="12" spans="2:14">
      <c r="B12" s="127"/>
      <c r="C12" s="19"/>
      <c r="D12" s="19"/>
      <c r="E12" s="19"/>
      <c r="F12" s="19"/>
      <c r="H12" s="35"/>
      <c r="I12" s="68"/>
      <c r="J12" s="44"/>
      <c r="K12" s="44"/>
      <c r="L12" s="44"/>
      <c r="M12" s="19"/>
      <c r="N12" s="24"/>
    </row>
    <row r="13" spans="2:14">
      <c r="B13" s="127"/>
      <c r="C13" s="85" t="s">
        <v>304</v>
      </c>
      <c r="D13" s="19"/>
      <c r="E13" s="19"/>
      <c r="F13" s="19"/>
      <c r="G13" s="35">
        <f>W!A518</f>
        <v>500</v>
      </c>
      <c r="I13" s="68"/>
      <c r="J13" s="44"/>
      <c r="K13" s="44"/>
      <c r="L13" s="44"/>
      <c r="M13" s="19"/>
      <c r="N13" s="24"/>
    </row>
    <row r="14" spans="2:14">
      <c r="B14" s="127"/>
      <c r="C14" s="85"/>
      <c r="D14" s="19"/>
      <c r="E14" s="19"/>
      <c r="F14" s="19"/>
      <c r="H14" s="44"/>
      <c r="I14" s="68"/>
      <c r="J14" s="44"/>
      <c r="K14" s="44"/>
      <c r="L14" s="44"/>
      <c r="M14" s="19"/>
      <c r="N14" s="24"/>
    </row>
    <row r="15" spans="2:14">
      <c r="B15" s="127"/>
      <c r="C15" s="85" t="s">
        <v>305</v>
      </c>
      <c r="D15" s="19"/>
      <c r="E15" s="19"/>
      <c r="F15" s="19"/>
      <c r="G15" s="28" t="s">
        <v>61</v>
      </c>
      <c r="H15" s="66" t="s">
        <v>62</v>
      </c>
      <c r="I15" s="35" t="s">
        <v>63</v>
      </c>
      <c r="K15" s="28"/>
      <c r="L15" s="44"/>
      <c r="M15" s="19"/>
      <c r="N15" s="24"/>
    </row>
    <row r="16" spans="2:14">
      <c r="B16" s="127"/>
      <c r="C16" s="85" t="s">
        <v>259</v>
      </c>
      <c r="D16" s="19"/>
      <c r="E16" s="19"/>
      <c r="F16" s="19"/>
      <c r="G16" s="199">
        <f>INT(L10*G20/1000) + 60</f>
        <v>102</v>
      </c>
      <c r="H16" s="199">
        <f>INT(L10*2*G20/1000) + 75</f>
        <v>160</v>
      </c>
      <c r="I16" s="199">
        <f>INT(L10*3*G20/1000) + 120</f>
        <v>248</v>
      </c>
      <c r="K16" s="44"/>
      <c r="L16" s="44"/>
      <c r="M16" s="44"/>
      <c r="N16" s="24"/>
    </row>
    <row r="17" spans="2:14">
      <c r="B17" s="127"/>
      <c r="C17" s="85" t="s">
        <v>260</v>
      </c>
      <c r="E17" s="19"/>
      <c r="F17" s="19"/>
      <c r="G17" s="199">
        <f>INT(L10*1.5*G20/1000) + 60</f>
        <v>124</v>
      </c>
      <c r="H17" s="199">
        <f>INT(L10*1.5*2*G20/1000) + 75</f>
        <v>203</v>
      </c>
      <c r="I17" s="199">
        <f>INT(L10*1.5*3*G20/1000) + 120</f>
        <v>313</v>
      </c>
      <c r="K17" s="44"/>
      <c r="L17" s="44"/>
      <c r="M17" s="44"/>
      <c r="N17" s="24"/>
    </row>
    <row r="18" spans="2:14">
      <c r="B18" s="127"/>
      <c r="C18" s="85"/>
      <c r="E18" s="19"/>
      <c r="F18" s="19"/>
      <c r="H18" s="44"/>
      <c r="I18" s="35"/>
      <c r="J18" s="44"/>
      <c r="K18" s="44"/>
      <c r="L18" s="44"/>
      <c r="M18" s="19"/>
      <c r="N18" s="24"/>
    </row>
    <row r="19" spans="2:14">
      <c r="B19" s="127"/>
      <c r="C19" s="85"/>
      <c r="E19" s="19"/>
      <c r="F19" s="19"/>
      <c r="G19" s="200" t="s">
        <v>27</v>
      </c>
      <c r="H19" s="201" t="s">
        <v>28</v>
      </c>
      <c r="I19" s="200" t="s">
        <v>29</v>
      </c>
      <c r="K19" s="44"/>
      <c r="L19" s="44"/>
      <c r="M19" s="19"/>
      <c r="N19" s="24"/>
    </row>
    <row r="20" spans="2:14">
      <c r="B20" s="127"/>
      <c r="C20" s="19" t="s">
        <v>325</v>
      </c>
      <c r="D20" s="19"/>
      <c r="G20" s="133">
        <f>W!A515</f>
        <v>37705</v>
      </c>
      <c r="H20" s="133">
        <f>W!A516</f>
        <v>33777</v>
      </c>
      <c r="I20" s="133">
        <f>W!A517</f>
        <v>31208</v>
      </c>
      <c r="K20" s="44"/>
      <c r="L20" s="44"/>
      <c r="M20" s="19"/>
      <c r="N20" s="24"/>
    </row>
    <row r="21" spans="2:14">
      <c r="B21" s="127"/>
      <c r="C21" s="19"/>
      <c r="D21" s="19"/>
      <c r="H21" s="44"/>
      <c r="I21" s="28"/>
      <c r="J21" s="44"/>
      <c r="K21" s="44"/>
      <c r="L21" s="44"/>
      <c r="M21" s="19"/>
      <c r="N21" s="24"/>
    </row>
    <row r="22" spans="2:14">
      <c r="B22" s="127"/>
      <c r="C22" s="19"/>
      <c r="D22" s="19"/>
      <c r="H22" s="44"/>
      <c r="I22" s="28"/>
      <c r="J22" s="44"/>
      <c r="K22" s="44"/>
      <c r="L22" s="44"/>
      <c r="M22" s="19"/>
      <c r="N22" s="24"/>
    </row>
    <row r="23" spans="2:14" ht="12">
      <c r="B23" s="127"/>
      <c r="C23" s="96" t="s">
        <v>326</v>
      </c>
      <c r="D23" s="19"/>
      <c r="E23" s="19"/>
      <c r="F23" s="80" t="str">
        <f>W!A681</f>
        <v>Долги в развитых странах сейчас выше, чем до финансового кризиса. Ожидается,</v>
      </c>
      <c r="G23" s="19"/>
      <c r="H23" s="19"/>
      <c r="I23" s="28"/>
      <c r="J23" s="19"/>
      <c r="K23" s="19"/>
      <c r="L23" s="19"/>
      <c r="M23" s="19"/>
      <c r="N23" s="24"/>
    </row>
    <row r="24" spans="2:14" ht="12">
      <c r="B24" s="127"/>
      <c r="C24" s="96"/>
      <c r="F24" s="80" t="str">
        <f>W!A682</f>
        <v>что это приведет к росту мировых процентных ставок. Многие центральные банки</v>
      </c>
      <c r="G24" s="19"/>
      <c r="H24" s="19"/>
      <c r="I24" s="28"/>
      <c r="J24" s="19"/>
      <c r="K24" s="19"/>
      <c r="L24" s="19"/>
      <c r="M24" s="19"/>
      <c r="N24" s="24"/>
    </row>
    <row r="25" spans="2:14" ht="12">
      <c r="B25" s="127"/>
      <c r="C25" s="96"/>
      <c r="F25" s="80" t="str">
        <f>W!A683</f>
        <v>удерживают процентные ставки на низком уровне. Как долго это может</v>
      </c>
      <c r="G25" s="19"/>
      <c r="H25" s="19"/>
      <c r="I25" s="28"/>
      <c r="J25" s="19"/>
      <c r="K25" s="19"/>
      <c r="L25" s="19"/>
      <c r="M25" s="19"/>
      <c r="N25" s="24"/>
    </row>
    <row r="26" spans="2:14">
      <c r="B26" s="127"/>
      <c r="C26" s="80"/>
      <c r="F26" s="80" t="str">
        <f>W!A684</f>
        <v>продолжаться и как это повлияет на мировую экономику,</v>
      </c>
      <c r="G26" s="80"/>
      <c r="H26" s="80"/>
      <c r="I26" s="31"/>
      <c r="J26" s="80"/>
      <c r="K26" s="19"/>
      <c r="L26" s="19"/>
      <c r="M26" s="19"/>
      <c r="N26" s="24"/>
    </row>
    <row r="27" spans="2:14">
      <c r="B27" s="127"/>
      <c r="C27" s="80"/>
      <c r="F27" s="80" t="str">
        <f>W!A685</f>
        <v>если процентные ставки внезапно вырастут?</v>
      </c>
      <c r="G27" s="80"/>
      <c r="H27" s="80"/>
      <c r="I27" s="31"/>
      <c r="J27" s="80"/>
      <c r="K27" s="19"/>
      <c r="L27" s="19"/>
      <c r="M27" s="19"/>
      <c r="N27" s="24"/>
    </row>
    <row r="28" spans="2:14">
      <c r="B28" s="127"/>
      <c r="C28" s="80"/>
      <c r="F28" s="80" t="str">
        <f>W!A686</f>
        <v xml:space="preserve"> </v>
      </c>
      <c r="G28" s="80"/>
      <c r="H28" s="80"/>
      <c r="I28" s="31"/>
      <c r="J28" s="80"/>
      <c r="K28" s="19"/>
      <c r="L28" s="19"/>
      <c r="M28" s="19"/>
      <c r="N28" s="24"/>
    </row>
    <row r="29" spans="2:14">
      <c r="B29" s="202"/>
      <c r="C29" s="203"/>
      <c r="D29" s="203"/>
      <c r="E29" s="203"/>
      <c r="F29" s="203"/>
      <c r="G29" s="203"/>
      <c r="H29" s="203"/>
      <c r="I29" s="90"/>
      <c r="J29" s="203"/>
      <c r="K29" s="203"/>
      <c r="L29" s="203"/>
      <c r="M29" s="203"/>
      <c r="N29" s="76"/>
    </row>
    <row r="30" spans="2:14">
      <c r="C30" s="19"/>
      <c r="D30" s="31"/>
      <c r="E30" s="80"/>
      <c r="F30" s="80"/>
      <c r="G30" s="80"/>
      <c r="H30" s="80"/>
      <c r="I30" s="31"/>
      <c r="J30" s="80"/>
      <c r="K30" s="19"/>
      <c r="L30" s="19"/>
      <c r="M30" s="19"/>
      <c r="N30" s="19"/>
    </row>
    <row r="31" spans="2:14">
      <c r="B31" s="125"/>
      <c r="C31" s="74"/>
      <c r="D31" s="204"/>
      <c r="E31" s="205"/>
      <c r="F31" s="205"/>
      <c r="G31" s="205"/>
      <c r="H31" s="205"/>
      <c r="I31" s="204"/>
      <c r="J31" s="205"/>
      <c r="K31" s="74"/>
      <c r="L31" s="74"/>
      <c r="M31" s="74"/>
      <c r="N31" s="84"/>
    </row>
    <row r="32" spans="2:14" ht="12">
      <c r="B32" s="127"/>
      <c r="C32" s="96" t="s">
        <v>327</v>
      </c>
      <c r="D32" s="31"/>
      <c r="E32" s="80"/>
      <c r="F32" s="39" t="s">
        <v>10</v>
      </c>
      <c r="G32" s="39" t="s">
        <v>10</v>
      </c>
      <c r="H32" s="39" t="s">
        <v>10</v>
      </c>
      <c r="I32" s="39" t="s">
        <v>10</v>
      </c>
      <c r="J32" s="39" t="s">
        <v>10</v>
      </c>
      <c r="K32" s="39" t="s">
        <v>10</v>
      </c>
      <c r="L32" s="39" t="s">
        <v>10</v>
      </c>
      <c r="M32" s="39" t="s">
        <v>10</v>
      </c>
      <c r="N32" s="24"/>
    </row>
    <row r="33" spans="2:17" ht="12">
      <c r="B33" s="127"/>
      <c r="C33" s="19"/>
      <c r="D33" s="19"/>
      <c r="E33" s="19"/>
      <c r="F33" s="122">
        <f>W!A521</f>
        <v>1</v>
      </c>
      <c r="G33" s="122">
        <f>W!A541</f>
        <v>2</v>
      </c>
      <c r="H33" s="122">
        <f>W!A561</f>
        <v>3</v>
      </c>
      <c r="I33" s="122">
        <f>W!A581</f>
        <v>4</v>
      </c>
      <c r="J33" s="122">
        <f>W!A601</f>
        <v>5</v>
      </c>
      <c r="K33" s="122">
        <f>W!A621</f>
        <v>6</v>
      </c>
      <c r="L33" s="122">
        <f>W!A641</f>
        <v>7</v>
      </c>
      <c r="M33" s="122">
        <f>W!A661</f>
        <v>8</v>
      </c>
      <c r="N33" s="24"/>
      <c r="Q33" s="18" t="s">
        <v>1</v>
      </c>
    </row>
    <row r="34" spans="2:17" ht="12">
      <c r="B34" s="127"/>
      <c r="C34" s="96" t="s">
        <v>261</v>
      </c>
      <c r="D34" s="19"/>
      <c r="E34" s="19"/>
      <c r="F34" s="19"/>
      <c r="G34" s="19"/>
      <c r="H34" s="19"/>
      <c r="I34" s="44"/>
      <c r="J34" s="19"/>
      <c r="K34" s="19"/>
      <c r="L34" s="19"/>
      <c r="M34" s="19"/>
      <c r="N34" s="24"/>
    </row>
    <row r="35" spans="2:17">
      <c r="B35" s="127"/>
      <c r="C35" s="19" t="s">
        <v>315</v>
      </c>
      <c r="D35" s="19"/>
      <c r="E35" s="19"/>
      <c r="F35" s="136">
        <f>W!A522/100</f>
        <v>136.13</v>
      </c>
      <c r="G35" s="136">
        <f>W!A542/100</f>
        <v>136.13</v>
      </c>
      <c r="H35" s="136">
        <f>W!A562/100</f>
        <v>136.13</v>
      </c>
      <c r="I35" s="136">
        <f>W!A582/100</f>
        <v>136.13</v>
      </c>
      <c r="J35" s="136">
        <f>W!A602/100</f>
        <v>136.13</v>
      </c>
      <c r="K35" s="136">
        <f>W!A622/100</f>
        <v>136.13</v>
      </c>
      <c r="L35" s="136">
        <f>W!A642/100</f>
        <v>136.13</v>
      </c>
      <c r="M35" s="136">
        <f>W!A662/100</f>
        <v>136.13</v>
      </c>
      <c r="N35" s="51"/>
    </row>
    <row r="36" spans="2:17">
      <c r="B36" s="127"/>
      <c r="C36" s="19" t="s">
        <v>306</v>
      </c>
      <c r="D36" s="19"/>
      <c r="E36" s="19"/>
      <c r="F36" s="136">
        <f>W!A523</f>
        <v>5445200</v>
      </c>
      <c r="G36" s="136">
        <f>W!A543</f>
        <v>5445200</v>
      </c>
      <c r="H36" s="136">
        <f>W!A563</f>
        <v>5445200</v>
      </c>
      <c r="I36" s="136">
        <f>W!A583</f>
        <v>5445200</v>
      </c>
      <c r="J36" s="136">
        <f>W!A603</f>
        <v>5445200</v>
      </c>
      <c r="K36" s="136">
        <f>W!A623</f>
        <v>5445200</v>
      </c>
      <c r="L36" s="136">
        <f>W!A643</f>
        <v>5445200</v>
      </c>
      <c r="M36" s="136">
        <f>W!A663</f>
        <v>5445200</v>
      </c>
      <c r="N36" s="51"/>
    </row>
    <row r="37" spans="2:17">
      <c r="B37" s="127"/>
      <c r="C37" s="19"/>
      <c r="F37" s="153"/>
      <c r="G37" s="153"/>
      <c r="H37" s="153"/>
      <c r="I37" s="206"/>
      <c r="J37" s="153"/>
      <c r="K37" s="153"/>
      <c r="L37" s="153"/>
      <c r="M37" s="153"/>
      <c r="N37" s="51"/>
    </row>
    <row r="38" spans="2:17">
      <c r="B38" s="127"/>
      <c r="C38" s="19" t="s">
        <v>262</v>
      </c>
      <c r="D38" s="19"/>
      <c r="E38" s="19"/>
      <c r="F38" s="136">
        <f>W!A524</f>
        <v>0</v>
      </c>
      <c r="G38" s="136">
        <f>W!A544</f>
        <v>0</v>
      </c>
      <c r="H38" s="136">
        <f>W!A564</f>
        <v>0</v>
      </c>
      <c r="I38" s="136">
        <f>W!A584</f>
        <v>0</v>
      </c>
      <c r="J38" s="136">
        <f>W!A604</f>
        <v>0</v>
      </c>
      <c r="K38" s="136">
        <f>W!A624</f>
        <v>0</v>
      </c>
      <c r="L38" s="136">
        <f>W!A644</f>
        <v>0</v>
      </c>
      <c r="M38" s="136">
        <f>W!A664</f>
        <v>0</v>
      </c>
      <c r="N38" s="51"/>
    </row>
    <row r="39" spans="2:17">
      <c r="B39" s="127"/>
      <c r="C39" s="19" t="s">
        <v>328</v>
      </c>
      <c r="D39" s="19"/>
      <c r="E39" s="19"/>
      <c r="F39" s="136">
        <f>W!A525</f>
        <v>5609444</v>
      </c>
      <c r="G39" s="136">
        <f>W!A545</f>
        <v>5609444</v>
      </c>
      <c r="H39" s="136">
        <f>W!A565</f>
        <v>5609444</v>
      </c>
      <c r="I39" s="136">
        <f>W!A585</f>
        <v>5609444</v>
      </c>
      <c r="J39" s="136">
        <f>W!A605</f>
        <v>5609444</v>
      </c>
      <c r="K39" s="136">
        <f>W!A625</f>
        <v>5609444</v>
      </c>
      <c r="L39" s="136">
        <f>W!A645</f>
        <v>5609444</v>
      </c>
      <c r="M39" s="136">
        <f>W!A665</f>
        <v>5609444</v>
      </c>
      <c r="N39" s="51"/>
    </row>
    <row r="40" spans="2:17">
      <c r="B40" s="127"/>
      <c r="C40" s="19"/>
      <c r="D40" s="19"/>
      <c r="E40" s="19"/>
      <c r="F40" s="207"/>
      <c r="G40" s="207"/>
      <c r="H40" s="207"/>
      <c r="I40" s="136"/>
      <c r="J40" s="207"/>
      <c r="K40" s="207"/>
      <c r="L40" s="207"/>
      <c r="M40" s="207"/>
      <c r="N40" s="51"/>
    </row>
    <row r="41" spans="2:17" ht="12">
      <c r="B41" s="127"/>
      <c r="C41" s="96" t="s">
        <v>263</v>
      </c>
      <c r="D41" s="19"/>
      <c r="E41" s="19"/>
      <c r="F41" s="136"/>
      <c r="G41" s="136"/>
      <c r="H41" s="136"/>
      <c r="I41" s="136"/>
      <c r="J41" s="207"/>
      <c r="K41" s="207"/>
      <c r="L41" s="207"/>
      <c r="M41" s="207"/>
      <c r="N41" s="51"/>
    </row>
    <row r="42" spans="2:17">
      <c r="B42" s="127"/>
      <c r="C42" s="19" t="s">
        <v>307</v>
      </c>
      <c r="D42" s="19"/>
      <c r="E42" s="19"/>
      <c r="F42" s="136"/>
      <c r="G42" s="136"/>
      <c r="H42" s="136"/>
      <c r="I42" s="136"/>
      <c r="J42" s="207"/>
      <c r="K42" s="207"/>
      <c r="L42" s="207"/>
      <c r="M42" s="207"/>
      <c r="N42" s="51"/>
    </row>
    <row r="43" spans="2:17">
      <c r="B43" s="127"/>
      <c r="C43" s="19" t="s">
        <v>297</v>
      </c>
      <c r="D43" s="19"/>
      <c r="E43" s="19"/>
      <c r="F43" s="136">
        <f>W!A526</f>
        <v>360</v>
      </c>
      <c r="G43" s="136">
        <f>W!A546</f>
        <v>360</v>
      </c>
      <c r="H43" s="136">
        <f>W!A566</f>
        <v>360</v>
      </c>
      <c r="I43" s="136">
        <f>W!A586</f>
        <v>360</v>
      </c>
      <c r="J43" s="136">
        <f>W!A606</f>
        <v>360</v>
      </c>
      <c r="K43" s="136">
        <f>W!A626</f>
        <v>360</v>
      </c>
      <c r="L43" s="136">
        <f>W!A646</f>
        <v>360</v>
      </c>
      <c r="M43" s="136">
        <f>W!A666</f>
        <v>360</v>
      </c>
      <c r="N43" s="51"/>
    </row>
    <row r="44" spans="2:17">
      <c r="B44" s="127"/>
      <c r="C44" s="19" t="s">
        <v>3</v>
      </c>
      <c r="D44" s="28" t="s">
        <v>323</v>
      </c>
      <c r="E44" s="19"/>
      <c r="F44" s="136">
        <f>W!A527</f>
        <v>360</v>
      </c>
      <c r="G44" s="136">
        <f>W!A547</f>
        <v>360</v>
      </c>
      <c r="H44" s="136">
        <f>W!A567</f>
        <v>360</v>
      </c>
      <c r="I44" s="136">
        <f>W!A587</f>
        <v>360</v>
      </c>
      <c r="J44" s="136">
        <f>W!A607</f>
        <v>360</v>
      </c>
      <c r="K44" s="136">
        <f>W!A627</f>
        <v>360</v>
      </c>
      <c r="L44" s="136">
        <f>W!A647</f>
        <v>360</v>
      </c>
      <c r="M44" s="136">
        <f>W!A667</f>
        <v>360</v>
      </c>
      <c r="N44" s="51"/>
    </row>
    <row r="45" spans="2:17">
      <c r="B45" s="127"/>
      <c r="C45" s="19"/>
      <c r="D45" s="19" t="s">
        <v>102</v>
      </c>
      <c r="E45" s="19"/>
      <c r="F45" s="136">
        <f>W!A528</f>
        <v>340</v>
      </c>
      <c r="G45" s="136">
        <f>W!A548</f>
        <v>340</v>
      </c>
      <c r="H45" s="136">
        <f>W!A568</f>
        <v>340</v>
      </c>
      <c r="I45" s="136">
        <f>W!A588</f>
        <v>340</v>
      </c>
      <c r="J45" s="136">
        <f>W!A608</f>
        <v>340</v>
      </c>
      <c r="K45" s="136">
        <f>W!A628</f>
        <v>340</v>
      </c>
      <c r="L45" s="136">
        <f>W!A648</f>
        <v>340</v>
      </c>
      <c r="M45" s="136">
        <f>W!A668</f>
        <v>340</v>
      </c>
      <c r="N45" s="51"/>
    </row>
    <row r="46" spans="2:17">
      <c r="B46" s="127"/>
      <c r="C46" s="19" t="s">
        <v>298</v>
      </c>
      <c r="D46" s="19"/>
      <c r="E46" s="19"/>
      <c r="F46" s="136">
        <f>W!A529</f>
        <v>610</v>
      </c>
      <c r="G46" s="136">
        <f>W!A549</f>
        <v>610</v>
      </c>
      <c r="H46" s="136">
        <f>W!A569</f>
        <v>610</v>
      </c>
      <c r="I46" s="136">
        <f>W!A589</f>
        <v>610</v>
      </c>
      <c r="J46" s="136">
        <f>W!A609</f>
        <v>610</v>
      </c>
      <c r="K46" s="136">
        <f>W!A629</f>
        <v>610</v>
      </c>
      <c r="L46" s="136">
        <f>W!A649</f>
        <v>610</v>
      </c>
      <c r="M46" s="136">
        <f>W!A669</f>
        <v>610</v>
      </c>
      <c r="N46" s="51"/>
    </row>
    <row r="47" spans="2:17">
      <c r="B47" s="127"/>
      <c r="C47" s="19" t="s">
        <v>3</v>
      </c>
      <c r="D47" s="28" t="s">
        <v>323</v>
      </c>
      <c r="E47" s="19"/>
      <c r="F47" s="136">
        <f>W!A530</f>
        <v>610</v>
      </c>
      <c r="G47" s="136">
        <f>W!A550</f>
        <v>610</v>
      </c>
      <c r="H47" s="136">
        <f>W!A570</f>
        <v>610</v>
      </c>
      <c r="I47" s="136">
        <f>W!A590</f>
        <v>610</v>
      </c>
      <c r="J47" s="136">
        <f>W!A610</f>
        <v>610</v>
      </c>
      <c r="K47" s="136">
        <f>W!A630</f>
        <v>610</v>
      </c>
      <c r="L47" s="136">
        <f>W!A650</f>
        <v>610</v>
      </c>
      <c r="M47" s="136">
        <f>W!A670</f>
        <v>610</v>
      </c>
      <c r="N47" s="51"/>
    </row>
    <row r="48" spans="2:17">
      <c r="B48" s="127"/>
      <c r="C48" s="19"/>
      <c r="D48" s="19" t="s">
        <v>102</v>
      </c>
      <c r="E48" s="19"/>
      <c r="F48" s="136">
        <f>W!A531</f>
        <v>520</v>
      </c>
      <c r="G48" s="136">
        <f>W!A551</f>
        <v>520</v>
      </c>
      <c r="H48" s="136">
        <f>W!A571</f>
        <v>520</v>
      </c>
      <c r="I48" s="136">
        <f>W!A591</f>
        <v>520</v>
      </c>
      <c r="J48" s="136">
        <f>W!A611</f>
        <v>520</v>
      </c>
      <c r="K48" s="136">
        <f>W!A631</f>
        <v>520</v>
      </c>
      <c r="L48" s="136">
        <f>W!A651</f>
        <v>520</v>
      </c>
      <c r="M48" s="136">
        <f>W!A671</f>
        <v>520</v>
      </c>
      <c r="N48" s="51"/>
    </row>
    <row r="49" spans="2:14">
      <c r="B49" s="127"/>
      <c r="C49" s="19" t="s">
        <v>299</v>
      </c>
      <c r="D49" s="19"/>
      <c r="E49" s="19"/>
      <c r="F49" s="136">
        <f>W!A532</f>
        <v>850</v>
      </c>
      <c r="G49" s="136">
        <f>W!A552</f>
        <v>850</v>
      </c>
      <c r="H49" s="136">
        <f>W!A572</f>
        <v>850</v>
      </c>
      <c r="I49" s="136">
        <f>W!A592</f>
        <v>850</v>
      </c>
      <c r="J49" s="136">
        <f>W!A612</f>
        <v>850</v>
      </c>
      <c r="K49" s="136">
        <f>W!A632</f>
        <v>850</v>
      </c>
      <c r="L49" s="136">
        <f>W!A652</f>
        <v>850</v>
      </c>
      <c r="M49" s="136">
        <f>W!A672</f>
        <v>850</v>
      </c>
      <c r="N49" s="51"/>
    </row>
    <row r="50" spans="2:14">
      <c r="B50" s="127"/>
      <c r="C50" s="19" t="s">
        <v>3</v>
      </c>
      <c r="D50" s="28" t="s">
        <v>323</v>
      </c>
      <c r="E50" s="19"/>
      <c r="F50" s="136">
        <f>W!A533</f>
        <v>850</v>
      </c>
      <c r="G50" s="136">
        <f>W!A553</f>
        <v>850</v>
      </c>
      <c r="H50" s="136">
        <f>W!A573</f>
        <v>850</v>
      </c>
      <c r="I50" s="136">
        <f>W!A593</f>
        <v>850</v>
      </c>
      <c r="J50" s="136">
        <f>W!A613</f>
        <v>850</v>
      </c>
      <c r="K50" s="136">
        <f>W!A633</f>
        <v>850</v>
      </c>
      <c r="L50" s="136">
        <f>W!A653</f>
        <v>850</v>
      </c>
      <c r="M50" s="136">
        <f>W!A673</f>
        <v>850</v>
      </c>
      <c r="N50" s="51"/>
    </row>
    <row r="51" spans="2:14">
      <c r="B51" s="127"/>
      <c r="C51" s="19"/>
      <c r="D51" s="19" t="s">
        <v>102</v>
      </c>
      <c r="E51" s="19"/>
      <c r="F51" s="136">
        <f>W!A534</f>
        <v>740</v>
      </c>
      <c r="G51" s="136">
        <f>W!A554</f>
        <v>740</v>
      </c>
      <c r="H51" s="136">
        <f>W!A574</f>
        <v>740</v>
      </c>
      <c r="I51" s="136">
        <f>W!A594</f>
        <v>740</v>
      </c>
      <c r="J51" s="136">
        <f>W!A614</f>
        <v>740</v>
      </c>
      <c r="K51" s="136">
        <f>W!A634</f>
        <v>740</v>
      </c>
      <c r="L51" s="136">
        <f>W!A654</f>
        <v>740</v>
      </c>
      <c r="M51" s="136">
        <f>W!A674</f>
        <v>740</v>
      </c>
      <c r="N51" s="51"/>
    </row>
    <row r="52" spans="2:14">
      <c r="B52" s="127"/>
      <c r="C52" s="19"/>
      <c r="D52" s="19"/>
      <c r="E52" s="19"/>
      <c r="F52" s="136"/>
      <c r="G52" s="136"/>
      <c r="H52" s="136"/>
      <c r="I52" s="136"/>
      <c r="J52" s="136"/>
      <c r="K52" s="136"/>
      <c r="L52" s="136"/>
      <c r="M52" s="136"/>
      <c r="N52" s="51"/>
    </row>
    <row r="53" spans="2:14">
      <c r="B53" s="127"/>
      <c r="C53" s="19" t="s">
        <v>264</v>
      </c>
      <c r="D53" s="19"/>
      <c r="E53" s="19"/>
      <c r="F53" s="136">
        <f>W!A535</f>
        <v>114</v>
      </c>
      <c r="G53" s="136">
        <f>W!A555</f>
        <v>114</v>
      </c>
      <c r="H53" s="136">
        <f>W!A575</f>
        <v>114</v>
      </c>
      <c r="I53" s="136">
        <f>W!A595</f>
        <v>114</v>
      </c>
      <c r="J53" s="136">
        <f>W!A615</f>
        <v>114</v>
      </c>
      <c r="K53" s="136">
        <f>W!A635</f>
        <v>114</v>
      </c>
      <c r="L53" s="136">
        <f>W!A655</f>
        <v>114</v>
      </c>
      <c r="M53" s="136">
        <f>W!A675</f>
        <v>114</v>
      </c>
      <c r="N53" s="51"/>
    </row>
    <row r="54" spans="2:14">
      <c r="B54" s="127"/>
      <c r="C54" s="99" t="s">
        <v>316</v>
      </c>
      <c r="D54" s="19"/>
      <c r="E54" s="19"/>
      <c r="F54" s="136">
        <f>W!A536</f>
        <v>1000</v>
      </c>
      <c r="G54" s="136">
        <f>W!A556</f>
        <v>1000</v>
      </c>
      <c r="H54" s="136">
        <f>W!A576</f>
        <v>1000</v>
      </c>
      <c r="I54" s="136">
        <f>W!A596</f>
        <v>1000</v>
      </c>
      <c r="J54" s="136">
        <f>W!A616</f>
        <v>1000</v>
      </c>
      <c r="K54" s="136">
        <f>W!A636</f>
        <v>1000</v>
      </c>
      <c r="L54" s="136">
        <f>W!A656</f>
        <v>1000</v>
      </c>
      <c r="M54" s="136">
        <f>W!A676</f>
        <v>1000</v>
      </c>
      <c r="N54" s="51"/>
    </row>
    <row r="55" spans="2:14">
      <c r="B55" s="127"/>
      <c r="C55" s="19" t="s">
        <v>265</v>
      </c>
      <c r="D55" s="19"/>
      <c r="E55" s="19"/>
      <c r="F55" s="136">
        <f>W!A537</f>
        <v>5</v>
      </c>
      <c r="G55" s="136">
        <f>W!A557</f>
        <v>5</v>
      </c>
      <c r="H55" s="136">
        <f>W!A577</f>
        <v>5</v>
      </c>
      <c r="I55" s="136">
        <f>W!A597</f>
        <v>5</v>
      </c>
      <c r="J55" s="136">
        <f>W!A617</f>
        <v>5</v>
      </c>
      <c r="K55" s="136">
        <f>W!A637</f>
        <v>5</v>
      </c>
      <c r="L55" s="136">
        <f>W!A657</f>
        <v>5</v>
      </c>
      <c r="M55" s="136">
        <f>W!A677</f>
        <v>5</v>
      </c>
      <c r="N55" s="51"/>
    </row>
    <row r="56" spans="2:14">
      <c r="B56" s="130"/>
      <c r="C56" s="62"/>
      <c r="D56" s="62"/>
      <c r="E56" s="62"/>
      <c r="F56" s="208"/>
      <c r="G56" s="208"/>
      <c r="H56" s="209"/>
      <c r="I56" s="210"/>
      <c r="J56" s="208"/>
      <c r="K56" s="208"/>
      <c r="L56" s="208"/>
      <c r="M56" s="209"/>
      <c r="N56" s="76"/>
    </row>
    <row r="57" spans="2:14">
      <c r="C57" s="18" t="s">
        <v>5</v>
      </c>
    </row>
    <row r="58" spans="2:14">
      <c r="C58" s="18" t="s">
        <v>6</v>
      </c>
    </row>
    <row r="59" spans="2:14">
      <c r="H59" s="137" t="s">
        <v>4</v>
      </c>
    </row>
    <row r="60" spans="2:14">
      <c r="B60" s="19"/>
      <c r="C60" s="19"/>
      <c r="D60" s="19"/>
      <c r="E60" s="19"/>
      <c r="F60" s="207"/>
      <c r="G60" s="207"/>
      <c r="H60" s="136"/>
      <c r="I60" s="129"/>
      <c r="J60" s="207"/>
      <c r="K60" s="207"/>
      <c r="L60" s="207"/>
      <c r="M60" s="136"/>
      <c r="N60" s="19"/>
    </row>
    <row r="61" spans="2:14" ht="13.8">
      <c r="B61" s="119"/>
      <c r="C61" s="22"/>
      <c r="F61" s="120"/>
      <c r="G61" s="196" t="s">
        <v>266</v>
      </c>
      <c r="I61" s="175" t="s">
        <v>11</v>
      </c>
      <c r="J61" s="15">
        <f>W!$A1</f>
        <v>0</v>
      </c>
      <c r="K61" s="175" t="s">
        <v>14</v>
      </c>
      <c r="L61" s="15">
        <f>W!$A4</f>
        <v>2026</v>
      </c>
      <c r="M61" s="175" t="s">
        <v>15</v>
      </c>
      <c r="N61" s="143">
        <f>W!$A5</f>
        <v>1</v>
      </c>
    </row>
    <row r="62" spans="2:14">
      <c r="C62" s="19"/>
      <c r="D62" s="19"/>
      <c r="E62" s="19"/>
      <c r="F62" s="207"/>
      <c r="G62" s="207"/>
      <c r="H62" s="136"/>
      <c r="I62" s="129"/>
      <c r="J62" s="207"/>
      <c r="K62" s="207"/>
      <c r="L62" s="207"/>
      <c r="M62" s="136"/>
      <c r="N62" s="19"/>
    </row>
    <row r="63" spans="2:14">
      <c r="B63" s="125"/>
      <c r="C63" s="74"/>
      <c r="D63" s="74"/>
      <c r="E63" s="74"/>
      <c r="F63" s="211"/>
      <c r="G63" s="211"/>
      <c r="H63" s="211"/>
      <c r="I63" s="212"/>
      <c r="J63" s="211"/>
      <c r="K63" s="211"/>
      <c r="L63" s="211"/>
      <c r="M63" s="211"/>
      <c r="N63" s="84"/>
    </row>
    <row r="64" spans="2:14" ht="12">
      <c r="B64" s="127"/>
      <c r="C64" s="96" t="s">
        <v>267</v>
      </c>
      <c r="D64" s="96"/>
      <c r="E64" s="19"/>
      <c r="F64" s="136"/>
      <c r="G64" s="136"/>
      <c r="H64" s="136"/>
      <c r="I64" s="129"/>
      <c r="J64" s="136"/>
      <c r="K64" s="129"/>
      <c r="L64" s="129"/>
      <c r="M64" s="136"/>
      <c r="N64" s="24"/>
    </row>
    <row r="65" spans="2:14" ht="12">
      <c r="B65" s="127"/>
      <c r="C65" s="96"/>
      <c r="D65" s="19" t="s">
        <v>268</v>
      </c>
      <c r="E65" s="19"/>
      <c r="F65" s="134">
        <f>W!A701</f>
        <v>1</v>
      </c>
      <c r="G65" s="134">
        <f>W!A721</f>
        <v>2</v>
      </c>
      <c r="H65" s="134">
        <f>W!A741</f>
        <v>3</v>
      </c>
      <c r="I65" s="134">
        <f>W!A761</f>
        <v>4</v>
      </c>
      <c r="J65" s="134">
        <f>W!A781</f>
        <v>5</v>
      </c>
      <c r="K65" s="134">
        <f>W!A801</f>
        <v>6</v>
      </c>
      <c r="L65" s="134">
        <f>W!A821</f>
        <v>7</v>
      </c>
      <c r="M65" s="134">
        <f>W!A841</f>
        <v>8</v>
      </c>
      <c r="N65" s="24"/>
    </row>
    <row r="66" spans="2:14" ht="12">
      <c r="B66" s="127"/>
      <c r="C66" s="96" t="s">
        <v>269</v>
      </c>
      <c r="D66" s="19"/>
      <c r="E66" s="19"/>
      <c r="F66" s="136"/>
      <c r="G66" s="136"/>
      <c r="H66" s="136"/>
      <c r="I66" s="136"/>
      <c r="J66" s="136"/>
      <c r="K66" s="153"/>
      <c r="L66" s="136"/>
      <c r="M66" s="136"/>
      <c r="N66" s="24"/>
    </row>
    <row r="67" spans="2:14">
      <c r="B67" s="127"/>
      <c r="C67" s="19" t="s">
        <v>270</v>
      </c>
      <c r="D67" s="19"/>
      <c r="E67" s="19"/>
      <c r="F67" s="136">
        <f>W!A702</f>
        <v>3136530</v>
      </c>
      <c r="G67" s="136">
        <f>W!A722</f>
        <v>3136530</v>
      </c>
      <c r="H67" s="136">
        <f>W!A742</f>
        <v>3136530</v>
      </c>
      <c r="I67" s="136">
        <f>W!A762</f>
        <v>3136530</v>
      </c>
      <c r="J67" s="136">
        <f>W!A782</f>
        <v>3136530</v>
      </c>
      <c r="K67" s="136">
        <f>W!A802</f>
        <v>3136530</v>
      </c>
      <c r="L67" s="136">
        <f>W!A822</f>
        <v>3136530</v>
      </c>
      <c r="M67" s="136">
        <f>W!A842</f>
        <v>3136530</v>
      </c>
      <c r="N67" s="24"/>
    </row>
    <row r="68" spans="2:14">
      <c r="B68" s="127"/>
      <c r="C68" s="19" t="s">
        <v>271</v>
      </c>
      <c r="D68" s="19"/>
      <c r="E68" s="19"/>
      <c r="F68" s="136">
        <f>W!A703</f>
        <v>12168</v>
      </c>
      <c r="G68" s="136">
        <f>W!A723</f>
        <v>12168</v>
      </c>
      <c r="H68" s="136">
        <f>W!A743</f>
        <v>12168</v>
      </c>
      <c r="I68" s="136">
        <f>W!A763</f>
        <v>12168</v>
      </c>
      <c r="J68" s="136">
        <f>W!A783</f>
        <v>12168</v>
      </c>
      <c r="K68" s="136">
        <f>W!A803</f>
        <v>12168</v>
      </c>
      <c r="L68" s="136">
        <f>W!A823</f>
        <v>12168</v>
      </c>
      <c r="M68" s="136">
        <f>W!A843</f>
        <v>12168</v>
      </c>
      <c r="N68" s="24"/>
    </row>
    <row r="69" spans="2:14">
      <c r="B69" s="127"/>
      <c r="C69" s="19" t="s">
        <v>272</v>
      </c>
      <c r="D69" s="19"/>
      <c r="E69" s="19"/>
      <c r="F69" s="136">
        <f>W!A704</f>
        <v>1378455</v>
      </c>
      <c r="G69" s="136">
        <f>W!A724</f>
        <v>1378455</v>
      </c>
      <c r="H69" s="136">
        <f>W!A744</f>
        <v>1378455</v>
      </c>
      <c r="I69" s="136">
        <f>W!A764</f>
        <v>1378455</v>
      </c>
      <c r="J69" s="136">
        <f>W!A784</f>
        <v>1378455</v>
      </c>
      <c r="K69" s="136">
        <f>W!A804</f>
        <v>1378455</v>
      </c>
      <c r="L69" s="136">
        <f>W!A824</f>
        <v>1378455</v>
      </c>
      <c r="M69" s="136">
        <f>W!A844</f>
        <v>1378455</v>
      </c>
      <c r="N69" s="24"/>
    </row>
    <row r="70" spans="2:14">
      <c r="B70" s="127"/>
      <c r="C70" s="19" t="s">
        <v>273</v>
      </c>
      <c r="D70" s="19"/>
      <c r="E70" s="19"/>
      <c r="F70" s="136">
        <f>W!A705</f>
        <v>1390772</v>
      </c>
      <c r="G70" s="136">
        <f>W!A725</f>
        <v>1390772</v>
      </c>
      <c r="H70" s="136">
        <f>W!A745</f>
        <v>1390772</v>
      </c>
      <c r="I70" s="136">
        <f>W!A765</f>
        <v>1390772</v>
      </c>
      <c r="J70" s="136">
        <f>W!A785</f>
        <v>1390772</v>
      </c>
      <c r="K70" s="136">
        <f>W!A805</f>
        <v>1390772</v>
      </c>
      <c r="L70" s="136">
        <f>W!A825</f>
        <v>1390772</v>
      </c>
      <c r="M70" s="136">
        <f>W!A845</f>
        <v>1390772</v>
      </c>
      <c r="N70" s="24"/>
    </row>
    <row r="71" spans="2:14">
      <c r="B71" s="127"/>
      <c r="C71" s="19"/>
      <c r="D71" s="19"/>
      <c r="E71" s="19"/>
      <c r="F71" s="135"/>
      <c r="G71" s="135"/>
      <c r="H71" s="135"/>
      <c r="I71" s="135"/>
      <c r="J71" s="135"/>
      <c r="K71" s="135"/>
      <c r="L71" s="135"/>
      <c r="M71" s="135"/>
      <c r="N71" s="24"/>
    </row>
    <row r="72" spans="2:14" ht="12">
      <c r="B72" s="127"/>
      <c r="C72" s="96" t="s">
        <v>274</v>
      </c>
      <c r="D72" s="19"/>
      <c r="E72" s="19"/>
      <c r="F72" s="136"/>
      <c r="G72" s="136"/>
      <c r="H72" s="136"/>
      <c r="I72" s="136"/>
      <c r="J72" s="136"/>
      <c r="K72" s="136"/>
      <c r="L72" s="136"/>
      <c r="M72" s="136"/>
      <c r="N72" s="24"/>
    </row>
    <row r="73" spans="2:14">
      <c r="B73" s="127"/>
      <c r="C73" s="19" t="s">
        <v>275</v>
      </c>
      <c r="D73" s="19"/>
      <c r="E73" s="19"/>
      <c r="F73" s="136">
        <f>W!A708</f>
        <v>201231</v>
      </c>
      <c r="G73" s="136">
        <f>W!A728</f>
        <v>201231</v>
      </c>
      <c r="H73" s="136">
        <f>W!A748</f>
        <v>201231</v>
      </c>
      <c r="I73" s="136">
        <f>W!A768</f>
        <v>201231</v>
      </c>
      <c r="J73" s="136">
        <f>W!A788</f>
        <v>201231</v>
      </c>
      <c r="K73" s="136">
        <f>W!A808</f>
        <v>201231</v>
      </c>
      <c r="L73" s="136">
        <f>W!A828</f>
        <v>201231</v>
      </c>
      <c r="M73" s="136">
        <f>W!A848</f>
        <v>201231</v>
      </c>
      <c r="N73" s="24"/>
    </row>
    <row r="74" spans="2:14">
      <c r="B74" s="127"/>
      <c r="C74" s="124" t="s">
        <v>276</v>
      </c>
      <c r="D74" s="19"/>
      <c r="E74" s="19"/>
      <c r="F74" s="136">
        <f>W!A709</f>
        <v>635411</v>
      </c>
      <c r="G74" s="136">
        <f>W!A729</f>
        <v>635411</v>
      </c>
      <c r="H74" s="136">
        <f>W!A749</f>
        <v>635411</v>
      </c>
      <c r="I74" s="136">
        <f>W!A769</f>
        <v>635411</v>
      </c>
      <c r="J74" s="136">
        <f>W!A789</f>
        <v>635411</v>
      </c>
      <c r="K74" s="136">
        <f>W!A809</f>
        <v>635411</v>
      </c>
      <c r="L74" s="136">
        <f>W!A829</f>
        <v>635411</v>
      </c>
      <c r="M74" s="136">
        <f>W!A849</f>
        <v>635411</v>
      </c>
      <c r="N74" s="24"/>
    </row>
    <row r="75" spans="2:14">
      <c r="B75" s="127"/>
      <c r="C75" s="19" t="s">
        <v>277</v>
      </c>
      <c r="D75" s="19"/>
      <c r="E75" s="19"/>
      <c r="F75" s="136">
        <f>W!A710</f>
        <v>0</v>
      </c>
      <c r="G75" s="136">
        <f>W!A730</f>
        <v>0</v>
      </c>
      <c r="H75" s="136">
        <f>W!A750</f>
        <v>0</v>
      </c>
      <c r="I75" s="136">
        <f>W!A770</f>
        <v>0</v>
      </c>
      <c r="J75" s="136">
        <f>W!A790</f>
        <v>0</v>
      </c>
      <c r="K75" s="136">
        <f>W!A810</f>
        <v>0</v>
      </c>
      <c r="L75" s="136">
        <f>W!A830</f>
        <v>0</v>
      </c>
      <c r="M75" s="136">
        <f>W!A850</f>
        <v>0</v>
      </c>
      <c r="N75" s="51"/>
    </row>
    <row r="76" spans="2:14" ht="12">
      <c r="B76" s="127"/>
      <c r="C76" s="96"/>
      <c r="D76" s="19"/>
      <c r="E76" s="19"/>
      <c r="F76" s="136"/>
      <c r="G76" s="136"/>
      <c r="H76" s="136"/>
      <c r="I76" s="136"/>
      <c r="J76" s="136"/>
      <c r="K76" s="136"/>
      <c r="L76" s="136"/>
      <c r="M76" s="136"/>
      <c r="N76" s="24"/>
    </row>
    <row r="77" spans="2:14">
      <c r="B77" s="127"/>
      <c r="C77" s="19" t="s">
        <v>278</v>
      </c>
      <c r="D77" s="19"/>
      <c r="E77" s="19"/>
      <c r="F77" s="136">
        <f>W!A712</f>
        <v>0</v>
      </c>
      <c r="G77" s="136">
        <f>W!A732</f>
        <v>0</v>
      </c>
      <c r="H77" s="136">
        <f>W!A752</f>
        <v>0</v>
      </c>
      <c r="I77" s="136">
        <f>W!A772</f>
        <v>0</v>
      </c>
      <c r="J77" s="136">
        <f>W!A792</f>
        <v>0</v>
      </c>
      <c r="K77" s="136">
        <f>W!A812</f>
        <v>0</v>
      </c>
      <c r="L77" s="136">
        <f>W!A832</f>
        <v>0</v>
      </c>
      <c r="M77" s="136">
        <f>W!A852</f>
        <v>0</v>
      </c>
      <c r="N77" s="24"/>
    </row>
    <row r="78" spans="2:14">
      <c r="B78" s="127"/>
      <c r="C78" s="19"/>
      <c r="D78" s="19"/>
      <c r="E78" s="19"/>
      <c r="F78" s="136"/>
      <c r="G78" s="136"/>
      <c r="H78" s="136"/>
      <c r="I78" s="136"/>
      <c r="J78" s="136"/>
      <c r="K78" s="136"/>
      <c r="L78" s="136"/>
      <c r="M78" s="136"/>
      <c r="N78" s="24"/>
    </row>
    <row r="79" spans="2:14" ht="12">
      <c r="B79" s="127"/>
      <c r="C79" s="96" t="s">
        <v>279</v>
      </c>
      <c r="D79" s="19"/>
      <c r="E79" s="80"/>
      <c r="F79" s="135"/>
      <c r="G79" s="135"/>
      <c r="H79" s="135"/>
      <c r="I79" s="135"/>
      <c r="J79" s="135"/>
      <c r="K79" s="135"/>
      <c r="L79" s="135"/>
      <c r="M79" s="135"/>
      <c r="N79" s="24"/>
    </row>
    <row r="80" spans="2:14">
      <c r="B80" s="127"/>
      <c r="C80" s="19" t="s">
        <v>280</v>
      </c>
      <c r="D80" s="19"/>
      <c r="E80" s="19"/>
      <c r="F80" s="136">
        <f>W!A714</f>
        <v>4000000</v>
      </c>
      <c r="G80" s="136">
        <f>W!A734</f>
        <v>4000000</v>
      </c>
      <c r="H80" s="136">
        <f>W!A754</f>
        <v>4000000</v>
      </c>
      <c r="I80" s="136">
        <f>W!A774</f>
        <v>4000000</v>
      </c>
      <c r="J80" s="136">
        <f>W!A794</f>
        <v>4000000</v>
      </c>
      <c r="K80" s="136">
        <f>W!A814</f>
        <v>4000000</v>
      </c>
      <c r="L80" s="136">
        <f>W!A834</f>
        <v>4000000</v>
      </c>
      <c r="M80" s="136">
        <f>W!A854</f>
        <v>4000000</v>
      </c>
      <c r="N80" s="24"/>
    </row>
    <row r="81" spans="2:14">
      <c r="B81" s="127"/>
      <c r="C81" s="19" t="s">
        <v>281</v>
      </c>
      <c r="D81" s="19"/>
      <c r="E81" s="19"/>
      <c r="F81" s="136">
        <f>W!A715</f>
        <v>0</v>
      </c>
      <c r="G81" s="136">
        <f>W!A735</f>
        <v>0</v>
      </c>
      <c r="H81" s="136">
        <f>W!A755</f>
        <v>0</v>
      </c>
      <c r="I81" s="136">
        <f>W!A775</f>
        <v>0</v>
      </c>
      <c r="J81" s="136">
        <f>W!A795</f>
        <v>0</v>
      </c>
      <c r="K81" s="136">
        <f>W!A815</f>
        <v>0</v>
      </c>
      <c r="L81" s="136">
        <f>W!A835</f>
        <v>0</v>
      </c>
      <c r="M81" s="136">
        <f>W!A855</f>
        <v>0</v>
      </c>
      <c r="N81" s="24"/>
    </row>
    <row r="82" spans="2:14">
      <c r="B82" s="127"/>
      <c r="C82" s="19" t="s">
        <v>282</v>
      </c>
      <c r="D82" s="19"/>
      <c r="E82" s="19"/>
      <c r="F82" s="136">
        <f>W!A716</f>
        <v>1081283</v>
      </c>
      <c r="G82" s="136">
        <f>W!A736</f>
        <v>1081283</v>
      </c>
      <c r="H82" s="136">
        <f>W!A756</f>
        <v>1081283</v>
      </c>
      <c r="I82" s="136">
        <f>W!A776</f>
        <v>1081283</v>
      </c>
      <c r="J82" s="136">
        <f>W!A796</f>
        <v>1081283</v>
      </c>
      <c r="K82" s="136">
        <f>W!A816</f>
        <v>1081283</v>
      </c>
      <c r="L82" s="136">
        <f>W!A836</f>
        <v>1081283</v>
      </c>
      <c r="M82" s="136">
        <f>W!A856</f>
        <v>1081283</v>
      </c>
      <c r="N82" s="24"/>
    </row>
    <row r="83" spans="2:14" ht="12">
      <c r="B83" s="127"/>
      <c r="C83" s="96" t="s">
        <v>235</v>
      </c>
      <c r="D83" s="19"/>
      <c r="E83" s="19"/>
      <c r="F83" s="136">
        <f t="shared" ref="F83:M83" si="0">SUM(F80:F82)</f>
        <v>5081283</v>
      </c>
      <c r="G83" s="136">
        <f t="shared" si="0"/>
        <v>5081283</v>
      </c>
      <c r="H83" s="136">
        <f t="shared" si="0"/>
        <v>5081283</v>
      </c>
      <c r="I83" s="136">
        <f t="shared" si="0"/>
        <v>5081283</v>
      </c>
      <c r="J83" s="136">
        <f t="shared" si="0"/>
        <v>5081283</v>
      </c>
      <c r="K83" s="136">
        <f t="shared" si="0"/>
        <v>5081283</v>
      </c>
      <c r="L83" s="136">
        <f t="shared" si="0"/>
        <v>5081283</v>
      </c>
      <c r="M83" s="136">
        <f t="shared" si="0"/>
        <v>5081283</v>
      </c>
      <c r="N83" s="24"/>
    </row>
    <row r="84" spans="2:14">
      <c r="B84" s="130"/>
      <c r="C84" s="62"/>
      <c r="D84" s="62"/>
      <c r="E84" s="62"/>
      <c r="F84" s="62"/>
      <c r="G84" s="62"/>
      <c r="H84" s="62"/>
      <c r="I84" s="83"/>
      <c r="J84" s="62"/>
      <c r="K84" s="62"/>
      <c r="L84" s="62"/>
      <c r="M84" s="62"/>
      <c r="N84" s="76"/>
    </row>
    <row r="86" spans="2:14">
      <c r="C86" s="19"/>
      <c r="D86" s="19"/>
      <c r="E86" s="19"/>
      <c r="F86" s="19"/>
      <c r="G86" s="19"/>
      <c r="H86" s="19"/>
      <c r="I86" s="28"/>
      <c r="J86" s="19"/>
      <c r="K86" s="19"/>
      <c r="L86" s="19"/>
      <c r="M86" s="19"/>
      <c r="N86" s="19"/>
    </row>
    <row r="87" spans="2:14">
      <c r="B87" s="125"/>
      <c r="C87" s="74"/>
      <c r="D87" s="74"/>
      <c r="E87" s="74"/>
      <c r="F87" s="74"/>
      <c r="G87" s="74"/>
      <c r="H87" s="74"/>
      <c r="I87" s="126"/>
      <c r="J87" s="74"/>
      <c r="K87" s="74"/>
      <c r="L87" s="74"/>
      <c r="M87" s="74"/>
      <c r="N87" s="84"/>
    </row>
    <row r="88" spans="2:14" ht="12">
      <c r="B88" s="127"/>
      <c r="C88" s="96" t="s">
        <v>283</v>
      </c>
      <c r="I88" s="128"/>
      <c r="K88" s="213" t="str">
        <f>W!A330</f>
        <v>Not requested</v>
      </c>
      <c r="N88" s="24"/>
    </row>
    <row r="89" spans="2:14" ht="12">
      <c r="B89" s="127"/>
      <c r="C89" s="19"/>
      <c r="D89" s="18" t="s">
        <v>284</v>
      </c>
      <c r="F89" s="122" t="str">
        <f>W!A331</f>
        <v xml:space="preserve"> </v>
      </c>
      <c r="G89" s="122" t="str">
        <f>W!A341</f>
        <v xml:space="preserve"> </v>
      </c>
      <c r="H89" s="122" t="str">
        <f>W!A351</f>
        <v xml:space="preserve"> </v>
      </c>
      <c r="I89" s="122" t="str">
        <f>W!A361</f>
        <v xml:space="preserve"> </v>
      </c>
      <c r="J89" s="122" t="str">
        <f>W!A371</f>
        <v xml:space="preserve"> </v>
      </c>
      <c r="K89" s="122" t="str">
        <f>W!A381</f>
        <v xml:space="preserve"> </v>
      </c>
      <c r="L89" s="122" t="str">
        <f>W!A391</f>
        <v xml:space="preserve"> </v>
      </c>
      <c r="M89" s="122" t="str">
        <f>W!A401</f>
        <v xml:space="preserve"> </v>
      </c>
      <c r="N89" s="24"/>
    </row>
    <row r="90" spans="2:14" ht="12">
      <c r="B90" s="127"/>
      <c r="C90" s="96" t="s">
        <v>285</v>
      </c>
      <c r="D90" s="19"/>
      <c r="E90" s="19"/>
      <c r="F90" s="80"/>
      <c r="G90" s="80"/>
      <c r="H90" s="80"/>
      <c r="I90" s="39"/>
      <c r="J90" s="80"/>
      <c r="L90" s="80"/>
      <c r="M90" s="80"/>
      <c r="N90" s="24"/>
    </row>
    <row r="91" spans="2:14">
      <c r="B91" s="127"/>
      <c r="C91" s="19" t="s">
        <v>297</v>
      </c>
      <c r="D91" s="19"/>
      <c r="E91" s="19"/>
      <c r="F91" s="61" t="str">
        <f>W!A332</f>
        <v xml:space="preserve"> </v>
      </c>
      <c r="G91" s="61" t="str">
        <f>W!A342</f>
        <v xml:space="preserve"> </v>
      </c>
      <c r="H91" s="61" t="str">
        <f>W!A352</f>
        <v xml:space="preserve"> </v>
      </c>
      <c r="I91" s="61" t="str">
        <f>W!A362</f>
        <v xml:space="preserve"> </v>
      </c>
      <c r="J91" s="61" t="str">
        <f>W!A372</f>
        <v xml:space="preserve"> </v>
      </c>
      <c r="K91" s="61" t="str">
        <f>W!A382</f>
        <v xml:space="preserve"> </v>
      </c>
      <c r="L91" s="61" t="str">
        <f>W!A392</f>
        <v xml:space="preserve"> </v>
      </c>
      <c r="M91" s="61" t="str">
        <f>W!A402</f>
        <v xml:space="preserve"> </v>
      </c>
      <c r="N91" s="24"/>
    </row>
    <row r="92" spans="2:14">
      <c r="B92" s="127"/>
      <c r="C92" s="19" t="s">
        <v>3</v>
      </c>
      <c r="D92" s="28" t="s">
        <v>323</v>
      </c>
      <c r="E92" s="19"/>
      <c r="F92" s="61" t="str">
        <f>W!A333</f>
        <v xml:space="preserve"> </v>
      </c>
      <c r="G92" s="61" t="str">
        <f>W!A343</f>
        <v xml:space="preserve"> </v>
      </c>
      <c r="H92" s="61" t="str">
        <f>W!A353</f>
        <v xml:space="preserve"> </v>
      </c>
      <c r="I92" s="61" t="str">
        <f>W!A363</f>
        <v xml:space="preserve"> </v>
      </c>
      <c r="J92" s="61" t="str">
        <f>W!A373</f>
        <v xml:space="preserve"> </v>
      </c>
      <c r="K92" s="61" t="str">
        <f>W!A383</f>
        <v xml:space="preserve"> </v>
      </c>
      <c r="L92" s="61" t="str">
        <f>W!A393</f>
        <v xml:space="preserve"> </v>
      </c>
      <c r="M92" s="61" t="str">
        <f>W!A403</f>
        <v xml:space="preserve"> </v>
      </c>
      <c r="N92" s="24"/>
    </row>
    <row r="93" spans="2:14">
      <c r="B93" s="127"/>
      <c r="C93" s="19"/>
      <c r="D93" s="19" t="s">
        <v>102</v>
      </c>
      <c r="E93" s="19"/>
      <c r="F93" s="61" t="str">
        <f>W!A334</f>
        <v xml:space="preserve"> </v>
      </c>
      <c r="G93" s="61" t="str">
        <f>W!A344</f>
        <v xml:space="preserve"> </v>
      </c>
      <c r="H93" s="61" t="str">
        <f>W!A354</f>
        <v xml:space="preserve"> </v>
      </c>
      <c r="I93" s="61" t="str">
        <f>W!A364</f>
        <v xml:space="preserve"> </v>
      </c>
      <c r="J93" s="61" t="str">
        <f>W!A374</f>
        <v xml:space="preserve"> </v>
      </c>
      <c r="K93" s="61" t="str">
        <f>W!A384</f>
        <v xml:space="preserve"> </v>
      </c>
      <c r="L93" s="61" t="str">
        <f>W!A394</f>
        <v xml:space="preserve"> </v>
      </c>
      <c r="M93" s="61" t="str">
        <f>W!A404</f>
        <v xml:space="preserve"> </v>
      </c>
      <c r="N93" s="24"/>
    </row>
    <row r="94" spans="2:14">
      <c r="B94" s="127"/>
      <c r="C94" s="19" t="s">
        <v>298</v>
      </c>
      <c r="D94" s="19"/>
      <c r="E94" s="19"/>
      <c r="F94" s="61" t="str">
        <f>W!A335</f>
        <v xml:space="preserve"> </v>
      </c>
      <c r="G94" s="61" t="str">
        <f>W!A345</f>
        <v xml:space="preserve"> </v>
      </c>
      <c r="H94" s="61" t="str">
        <f>W!A355</f>
        <v xml:space="preserve"> </v>
      </c>
      <c r="I94" s="61" t="str">
        <f>W!A365</f>
        <v xml:space="preserve"> </v>
      </c>
      <c r="J94" s="61" t="str">
        <f>W!A375</f>
        <v xml:space="preserve"> </v>
      </c>
      <c r="K94" s="61" t="str">
        <f>W!A385</f>
        <v xml:space="preserve"> </v>
      </c>
      <c r="L94" s="61" t="str">
        <f>W!A395</f>
        <v xml:space="preserve"> </v>
      </c>
      <c r="M94" s="61" t="str">
        <f>W!A405</f>
        <v xml:space="preserve"> </v>
      </c>
      <c r="N94" s="24"/>
    </row>
    <row r="95" spans="2:14">
      <c r="B95" s="127"/>
      <c r="C95" s="19" t="s">
        <v>3</v>
      </c>
      <c r="D95" s="28" t="s">
        <v>323</v>
      </c>
      <c r="E95" s="19"/>
      <c r="F95" s="61" t="str">
        <f>W!A336</f>
        <v xml:space="preserve"> </v>
      </c>
      <c r="G95" s="61" t="str">
        <f>W!A346</f>
        <v xml:space="preserve"> </v>
      </c>
      <c r="H95" s="61" t="str">
        <f>W!A356</f>
        <v xml:space="preserve"> </v>
      </c>
      <c r="I95" s="61" t="str">
        <f>W!A366</f>
        <v xml:space="preserve"> </v>
      </c>
      <c r="J95" s="61" t="str">
        <f>W!A376</f>
        <v xml:space="preserve"> </v>
      </c>
      <c r="K95" s="61" t="str">
        <f>W!A386</f>
        <v xml:space="preserve"> </v>
      </c>
      <c r="L95" s="61" t="str">
        <f>W!A396</f>
        <v xml:space="preserve"> </v>
      </c>
      <c r="M95" s="61" t="str">
        <f>W!A406</f>
        <v xml:space="preserve"> </v>
      </c>
      <c r="N95" s="24"/>
    </row>
    <row r="96" spans="2:14">
      <c r="B96" s="127"/>
      <c r="C96" s="19"/>
      <c r="D96" s="19" t="s">
        <v>102</v>
      </c>
      <c r="E96" s="19"/>
      <c r="F96" s="61" t="str">
        <f>W!A337</f>
        <v xml:space="preserve"> </v>
      </c>
      <c r="G96" s="61" t="str">
        <f>W!A347</f>
        <v xml:space="preserve"> </v>
      </c>
      <c r="H96" s="61" t="str">
        <f>W!A357</f>
        <v xml:space="preserve"> </v>
      </c>
      <c r="I96" s="61" t="str">
        <f>W!A367</f>
        <v xml:space="preserve"> </v>
      </c>
      <c r="J96" s="61" t="str">
        <f>W!A377</f>
        <v xml:space="preserve"> </v>
      </c>
      <c r="K96" s="61" t="str">
        <f>W!A387</f>
        <v xml:space="preserve"> </v>
      </c>
      <c r="L96" s="61" t="str">
        <f>W!A397</f>
        <v xml:space="preserve"> </v>
      </c>
      <c r="M96" s="61" t="str">
        <f>W!A407</f>
        <v xml:space="preserve"> </v>
      </c>
      <c r="N96" s="24"/>
    </row>
    <row r="97" spans="2:14">
      <c r="B97" s="127"/>
      <c r="C97" s="19" t="s">
        <v>299</v>
      </c>
      <c r="D97" s="19"/>
      <c r="E97" s="19"/>
      <c r="F97" s="61" t="str">
        <f>W!A338</f>
        <v xml:space="preserve"> </v>
      </c>
      <c r="G97" s="61" t="str">
        <f>W!A348</f>
        <v xml:space="preserve"> </v>
      </c>
      <c r="H97" s="61" t="str">
        <f>W!A358</f>
        <v xml:space="preserve"> </v>
      </c>
      <c r="I97" s="61" t="str">
        <f>W!A368</f>
        <v xml:space="preserve"> </v>
      </c>
      <c r="J97" s="61" t="str">
        <f>W!A378</f>
        <v xml:space="preserve"> </v>
      </c>
      <c r="K97" s="61" t="str">
        <f>W!A388</f>
        <v xml:space="preserve"> </v>
      </c>
      <c r="L97" s="61" t="str">
        <f>W!A398</f>
        <v xml:space="preserve"> </v>
      </c>
      <c r="M97" s="61" t="str">
        <f>W!A408</f>
        <v xml:space="preserve"> </v>
      </c>
      <c r="N97" s="24"/>
    </row>
    <row r="98" spans="2:14">
      <c r="B98" s="127"/>
      <c r="C98" s="19" t="s">
        <v>3</v>
      </c>
      <c r="D98" s="28" t="s">
        <v>323</v>
      </c>
      <c r="E98" s="19"/>
      <c r="F98" s="61" t="str">
        <f>W!A339</f>
        <v xml:space="preserve"> </v>
      </c>
      <c r="G98" s="61" t="str">
        <f>W!A349</f>
        <v xml:space="preserve"> </v>
      </c>
      <c r="H98" s="61" t="str">
        <f>W!A359</f>
        <v xml:space="preserve"> </v>
      </c>
      <c r="I98" s="61" t="str">
        <f>W!A369</f>
        <v xml:space="preserve"> </v>
      </c>
      <c r="J98" s="61" t="str">
        <f>W!A379</f>
        <v xml:space="preserve"> </v>
      </c>
      <c r="K98" s="61" t="str">
        <f>W!A389</f>
        <v xml:space="preserve"> </v>
      </c>
      <c r="L98" s="61" t="str">
        <f>W!A399</f>
        <v xml:space="preserve"> </v>
      </c>
      <c r="M98" s="61" t="str">
        <f>W!A409</f>
        <v xml:space="preserve"> </v>
      </c>
      <c r="N98" s="24"/>
    </row>
    <row r="99" spans="2:14">
      <c r="B99" s="127"/>
      <c r="C99" s="19"/>
      <c r="D99" s="19" t="s">
        <v>102</v>
      </c>
      <c r="E99" s="19"/>
      <c r="F99" s="61" t="str">
        <f>W!A340</f>
        <v xml:space="preserve"> </v>
      </c>
      <c r="G99" s="61" t="str">
        <f>W!A350</f>
        <v xml:space="preserve"> </v>
      </c>
      <c r="H99" s="61" t="str">
        <f>W!A360</f>
        <v xml:space="preserve"> </v>
      </c>
      <c r="I99" s="61" t="str">
        <f>W!A370</f>
        <v xml:space="preserve"> </v>
      </c>
      <c r="J99" s="61" t="str">
        <f>W!A380</f>
        <v xml:space="preserve"> </v>
      </c>
      <c r="K99" s="61" t="str">
        <f>W!A390</f>
        <v xml:space="preserve"> </v>
      </c>
      <c r="L99" s="61" t="str">
        <f>W!A400</f>
        <v xml:space="preserve"> </v>
      </c>
      <c r="M99" s="61" t="str">
        <f>W!A410</f>
        <v xml:space="preserve"> </v>
      </c>
      <c r="N99" s="24"/>
    </row>
    <row r="100" spans="2:14">
      <c r="B100" s="130"/>
      <c r="C100" s="62"/>
      <c r="D100" s="62"/>
      <c r="E100" s="62"/>
      <c r="F100" s="57"/>
      <c r="G100" s="57"/>
      <c r="H100" s="57"/>
      <c r="I100" s="57"/>
      <c r="J100" s="57"/>
      <c r="K100" s="57"/>
      <c r="L100" s="57"/>
      <c r="M100" s="57"/>
      <c r="N100" s="76"/>
    </row>
    <row r="101" spans="2:14">
      <c r="B101" s="127"/>
      <c r="C101" s="74"/>
      <c r="D101" s="19"/>
      <c r="E101" s="19"/>
      <c r="F101" s="44"/>
      <c r="G101" s="44"/>
      <c r="H101" s="44"/>
      <c r="I101" s="44"/>
      <c r="J101" s="44"/>
      <c r="K101" s="44"/>
      <c r="L101" s="44"/>
      <c r="M101" s="44"/>
      <c r="N101" s="24"/>
    </row>
    <row r="102" spans="2:14" ht="12">
      <c r="B102" s="127"/>
      <c r="C102" s="96" t="s">
        <v>286</v>
      </c>
      <c r="D102" s="19"/>
      <c r="E102" s="19"/>
      <c r="F102" s="19"/>
      <c r="G102" s="19"/>
      <c r="H102" s="19"/>
      <c r="I102" s="44"/>
      <c r="J102" s="19"/>
      <c r="K102" s="39" t="str">
        <f>W!A420</f>
        <v xml:space="preserve"> </v>
      </c>
      <c r="L102" s="19"/>
      <c r="M102" s="19"/>
      <c r="N102" s="24"/>
    </row>
    <row r="103" spans="2:14" ht="12">
      <c r="B103" s="127"/>
      <c r="C103" s="19"/>
      <c r="D103" s="19" t="s">
        <v>287</v>
      </c>
      <c r="E103" s="19"/>
      <c r="F103" s="122">
        <f>W!A421</f>
        <v>1</v>
      </c>
      <c r="G103" s="122">
        <f>W!A428</f>
        <v>2</v>
      </c>
      <c r="H103" s="122">
        <f>W!A435</f>
        <v>3</v>
      </c>
      <c r="I103" s="122">
        <f>W!A442</f>
        <v>4</v>
      </c>
      <c r="J103" s="122">
        <f>W!A449</f>
        <v>5</v>
      </c>
      <c r="K103" s="122">
        <f>W!A456</f>
        <v>6</v>
      </c>
      <c r="L103" s="122">
        <f>W!A463</f>
        <v>7</v>
      </c>
      <c r="M103" s="122">
        <f>W!A470</f>
        <v>8</v>
      </c>
      <c r="N103" s="24"/>
    </row>
    <row r="104" spans="2:14">
      <c r="B104" s="127"/>
      <c r="C104" s="19" t="s">
        <v>308</v>
      </c>
      <c r="D104" s="19"/>
      <c r="E104" s="19"/>
      <c r="F104" s="136">
        <f>W!A422</f>
        <v>360000</v>
      </c>
      <c r="G104" s="136">
        <f>W!A429</f>
        <v>360000</v>
      </c>
      <c r="H104" s="136">
        <f>W!A436</f>
        <v>360000</v>
      </c>
      <c r="I104" s="136">
        <f>W!A443</f>
        <v>360000</v>
      </c>
      <c r="J104" s="136">
        <f>W!A450</f>
        <v>360000</v>
      </c>
      <c r="K104" s="136">
        <f>W!A457</f>
        <v>360000</v>
      </c>
      <c r="L104" s="136">
        <f>W!A464</f>
        <v>360000</v>
      </c>
      <c r="M104" s="136">
        <f>W!A471</f>
        <v>360000</v>
      </c>
      <c r="N104" s="24"/>
    </row>
    <row r="105" spans="2:14">
      <c r="B105" s="127"/>
      <c r="C105" s="19" t="s">
        <v>309</v>
      </c>
      <c r="D105" s="19"/>
      <c r="E105" s="19"/>
      <c r="F105" s="136">
        <f>W!A423</f>
        <v>90000</v>
      </c>
      <c r="G105" s="136">
        <f>W!A430</f>
        <v>90000</v>
      </c>
      <c r="H105" s="136">
        <f>W!A437</f>
        <v>90000</v>
      </c>
      <c r="I105" s="136">
        <f>W!A444</f>
        <v>90000</v>
      </c>
      <c r="J105" s="136">
        <f>W!A451</f>
        <v>90000</v>
      </c>
      <c r="K105" s="136">
        <f>W!A458</f>
        <v>90000</v>
      </c>
      <c r="L105" s="136">
        <f>W!A465</f>
        <v>90000</v>
      </c>
      <c r="M105" s="136">
        <f>W!A472</f>
        <v>90000</v>
      </c>
      <c r="N105" s="24"/>
    </row>
    <row r="106" spans="2:14">
      <c r="B106" s="127"/>
      <c r="C106" s="19" t="s">
        <v>288</v>
      </c>
      <c r="D106" s="19"/>
      <c r="E106" s="19"/>
      <c r="F106" s="39"/>
      <c r="G106" s="39"/>
      <c r="H106" s="39"/>
      <c r="I106" s="39"/>
      <c r="J106" s="39"/>
      <c r="K106" s="39"/>
      <c r="L106" s="39"/>
      <c r="M106" s="39"/>
      <c r="N106" s="24"/>
    </row>
    <row r="107" spans="2:14">
      <c r="B107" s="127"/>
      <c r="C107" s="19" t="s">
        <v>289</v>
      </c>
      <c r="D107" s="19"/>
      <c r="E107" s="19"/>
      <c r="F107" s="123" t="str">
        <f>W!A424</f>
        <v xml:space="preserve"> ****</v>
      </c>
      <c r="G107" s="123" t="str">
        <f>W!A431</f>
        <v xml:space="preserve"> ****</v>
      </c>
      <c r="H107" s="123" t="str">
        <f>W!A438</f>
        <v xml:space="preserve"> ****</v>
      </c>
      <c r="I107" s="123" t="str">
        <f>W!A445</f>
        <v xml:space="preserve"> ****</v>
      </c>
      <c r="J107" s="123" t="str">
        <f>W!A452</f>
        <v xml:space="preserve"> ****</v>
      </c>
      <c r="K107" s="123" t="str">
        <f>W!A459</f>
        <v xml:space="preserve"> ****</v>
      </c>
      <c r="L107" s="123" t="str">
        <f>W!A466</f>
        <v xml:space="preserve"> ****</v>
      </c>
      <c r="M107" s="123" t="str">
        <f>W!A473</f>
        <v xml:space="preserve"> ****</v>
      </c>
      <c r="N107" s="24"/>
    </row>
    <row r="108" spans="2:14">
      <c r="B108" s="127"/>
      <c r="C108" s="19" t="s">
        <v>290</v>
      </c>
      <c r="D108" s="19"/>
      <c r="E108" s="19"/>
      <c r="F108" s="123" t="str">
        <f>W!A425</f>
        <v xml:space="preserve"> ****</v>
      </c>
      <c r="G108" s="123" t="str">
        <f>W!A432</f>
        <v xml:space="preserve"> ****</v>
      </c>
      <c r="H108" s="123" t="str">
        <f>W!A439</f>
        <v xml:space="preserve"> ****</v>
      </c>
      <c r="I108" s="123" t="str">
        <f>W!A446</f>
        <v xml:space="preserve"> ****</v>
      </c>
      <c r="J108" s="123" t="str">
        <f>W!A453</f>
        <v xml:space="preserve"> ****</v>
      </c>
      <c r="K108" s="123" t="str">
        <f>W!A460</f>
        <v xml:space="preserve"> ****</v>
      </c>
      <c r="L108" s="123" t="str">
        <f>W!A467</f>
        <v xml:space="preserve"> ****</v>
      </c>
      <c r="M108" s="123" t="str">
        <f>W!A474</f>
        <v xml:space="preserve"> ****</v>
      </c>
      <c r="N108" s="24"/>
    </row>
    <row r="109" spans="2:14">
      <c r="B109" s="127"/>
      <c r="C109" s="19" t="s">
        <v>291</v>
      </c>
      <c r="D109" s="19"/>
      <c r="E109" s="19"/>
      <c r="F109" s="123" t="str">
        <f>W!A426</f>
        <v xml:space="preserve"> ****</v>
      </c>
      <c r="G109" s="123" t="str">
        <f>W!A433</f>
        <v xml:space="preserve"> ****</v>
      </c>
      <c r="H109" s="123" t="str">
        <f>W!A440</f>
        <v xml:space="preserve"> ****</v>
      </c>
      <c r="I109" s="123" t="str">
        <f>W!A447</f>
        <v xml:space="preserve"> ****</v>
      </c>
      <c r="J109" s="123" t="str">
        <f>W!A454</f>
        <v xml:space="preserve"> ****</v>
      </c>
      <c r="K109" s="123" t="str">
        <f>W!A461</f>
        <v xml:space="preserve"> ****</v>
      </c>
      <c r="L109" s="123" t="str">
        <f>W!A468</f>
        <v xml:space="preserve"> ****</v>
      </c>
      <c r="M109" s="123" t="str">
        <f>W!A475</f>
        <v xml:space="preserve"> ****</v>
      </c>
      <c r="N109" s="24"/>
    </row>
    <row r="110" spans="2:14">
      <c r="B110" s="127"/>
      <c r="C110" s="19" t="s">
        <v>292</v>
      </c>
      <c r="D110" s="19"/>
      <c r="E110" s="19"/>
      <c r="F110" s="123" t="str">
        <f>W!A427</f>
        <v xml:space="preserve"> ****</v>
      </c>
      <c r="G110" s="123" t="str">
        <f>W!A434</f>
        <v xml:space="preserve"> ****</v>
      </c>
      <c r="H110" s="123" t="str">
        <f>W!A441</f>
        <v xml:space="preserve"> ****</v>
      </c>
      <c r="I110" s="123" t="str">
        <f>W!A448</f>
        <v xml:space="preserve"> ****</v>
      </c>
      <c r="J110" s="123" t="str">
        <f>W!A455</f>
        <v xml:space="preserve"> ****</v>
      </c>
      <c r="K110" s="123" t="str">
        <f>W!A462</f>
        <v xml:space="preserve"> ****</v>
      </c>
      <c r="L110" s="123" t="str">
        <f>W!A469</f>
        <v xml:space="preserve"> ****</v>
      </c>
      <c r="M110" s="123" t="str">
        <f>W!A476</f>
        <v xml:space="preserve"> ****</v>
      </c>
      <c r="N110" s="24"/>
    </row>
    <row r="111" spans="2:14">
      <c r="B111" s="130"/>
      <c r="C111" s="62"/>
      <c r="D111" s="62"/>
      <c r="E111" s="62"/>
      <c r="F111" s="62"/>
      <c r="G111" s="62"/>
      <c r="H111" s="62"/>
      <c r="I111" s="83"/>
      <c r="J111" s="62"/>
      <c r="K111" s="62"/>
      <c r="L111" s="62"/>
      <c r="M111" s="62"/>
      <c r="N111" s="76"/>
    </row>
    <row r="112" spans="2:14" ht="12.75" customHeight="1">
      <c r="C112" s="18" t="s">
        <v>5</v>
      </c>
    </row>
    <row r="113" spans="3:8" ht="12.75" customHeight="1">
      <c r="C113" s="18" t="s">
        <v>6</v>
      </c>
    </row>
    <row r="114" spans="3:8">
      <c r="H114" s="137" t="s">
        <v>4</v>
      </c>
    </row>
  </sheetData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Лист5"/>
  <dimension ref="A1:B864"/>
  <sheetViews>
    <sheetView showGridLines="0" workbookViewId="0">
      <selection activeCell="A686" sqref="A686"/>
    </sheetView>
  </sheetViews>
  <sheetFormatPr defaultRowHeight="13.2"/>
  <cols>
    <col min="1" max="1" width="55.44140625" bestFit="1" customWidth="1"/>
    <col min="2" max="2" width="2" style="131" bestFit="1" customWidth="1"/>
  </cols>
  <sheetData>
    <row r="1" spans="1:2">
      <c r="A1">
        <v>0</v>
      </c>
    </row>
    <row r="2" spans="1:2">
      <c r="A2">
        <v>0</v>
      </c>
      <c r="B2" s="131" t="s">
        <v>330</v>
      </c>
    </row>
    <row r="3" spans="1:2">
      <c r="A3">
        <v>999</v>
      </c>
    </row>
    <row r="4" spans="1:2">
      <c r="A4">
        <v>2026</v>
      </c>
    </row>
    <row r="5" spans="1:2">
      <c r="A5">
        <v>1</v>
      </c>
    </row>
    <row r="6" spans="1:2">
      <c r="A6" t="s">
        <v>331</v>
      </c>
    </row>
    <row r="7" spans="1:2">
      <c r="A7">
        <v>30</v>
      </c>
    </row>
    <row r="8" spans="1:2">
      <c r="A8">
        <v>30</v>
      </c>
    </row>
    <row r="9" spans="1:2">
      <c r="A9">
        <v>30</v>
      </c>
    </row>
    <row r="10" spans="1:2">
      <c r="A10">
        <v>0</v>
      </c>
    </row>
    <row r="11" spans="1:2">
      <c r="A11">
        <v>30</v>
      </c>
    </row>
    <row r="12" spans="1:2">
      <c r="A12">
        <v>30</v>
      </c>
    </row>
    <row r="13" spans="1:2">
      <c r="A13">
        <v>30</v>
      </c>
    </row>
    <row r="14" spans="1:2">
      <c r="A14">
        <v>30</v>
      </c>
    </row>
    <row r="15" spans="1:2">
      <c r="A15">
        <v>30</v>
      </c>
    </row>
    <row r="16" spans="1:2">
      <c r="A16">
        <v>30</v>
      </c>
    </row>
    <row r="17" spans="1:1">
      <c r="A17">
        <v>30</v>
      </c>
    </row>
    <row r="18" spans="1:1">
      <c r="A18">
        <v>30</v>
      </c>
    </row>
    <row r="19" spans="1:1">
      <c r="A19">
        <v>30</v>
      </c>
    </row>
    <row r="20" spans="1:1">
      <c r="A20">
        <v>0</v>
      </c>
    </row>
    <row r="21" spans="1:1">
      <c r="A21">
        <v>360</v>
      </c>
    </row>
    <row r="22" spans="1:1">
      <c r="A22">
        <v>360</v>
      </c>
    </row>
    <row r="23" spans="1:1">
      <c r="A23">
        <v>340</v>
      </c>
    </row>
    <row r="24" spans="1:1">
      <c r="A24">
        <v>610</v>
      </c>
    </row>
    <row r="25" spans="1:1">
      <c r="A25">
        <v>610</v>
      </c>
    </row>
    <row r="26" spans="1:1">
      <c r="A26">
        <v>520</v>
      </c>
    </row>
    <row r="27" spans="1:1">
      <c r="A27">
        <v>850</v>
      </c>
    </row>
    <row r="28" spans="1:1">
      <c r="A28">
        <v>850</v>
      </c>
    </row>
    <row r="29" spans="1:1">
      <c r="A29">
        <v>740</v>
      </c>
    </row>
    <row r="30" spans="1:1">
      <c r="A30">
        <v>0</v>
      </c>
    </row>
    <row r="31" spans="1:1">
      <c r="A31">
        <v>700</v>
      </c>
    </row>
    <row r="32" spans="1:1">
      <c r="A32">
        <v>925</v>
      </c>
    </row>
    <row r="33" spans="1:1">
      <c r="A33">
        <v>1000</v>
      </c>
    </row>
    <row r="34" spans="1:1">
      <c r="A34">
        <v>400</v>
      </c>
    </row>
    <row r="35" spans="1:1">
      <c r="A35">
        <v>475</v>
      </c>
    </row>
    <row r="36" spans="1:1">
      <c r="A36">
        <v>600</v>
      </c>
    </row>
    <row r="37" spans="1:1">
      <c r="A37">
        <v>220</v>
      </c>
    </row>
    <row r="38" spans="1:1">
      <c r="A38">
        <v>250</v>
      </c>
    </row>
    <row r="39" spans="1:1">
      <c r="A39">
        <v>250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115</v>
      </c>
    </row>
    <row r="48" spans="1:1">
      <c r="A48">
        <v>165</v>
      </c>
    </row>
    <row r="49" spans="1:1">
      <c r="A49">
        <v>325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13</v>
      </c>
    </row>
    <row r="63" spans="1:1">
      <c r="A63">
        <v>13</v>
      </c>
    </row>
    <row r="64" spans="1:1">
      <c r="A64">
        <v>3</v>
      </c>
    </row>
    <row r="65" spans="1:1">
      <c r="A65">
        <v>13</v>
      </c>
    </row>
    <row r="66" spans="1:1">
      <c r="A66">
        <v>13</v>
      </c>
    </row>
    <row r="67" spans="1:1">
      <c r="A67">
        <v>0</v>
      </c>
    </row>
    <row r="68" spans="1:1">
      <c r="A68">
        <v>11</v>
      </c>
    </row>
    <row r="69" spans="1:1">
      <c r="A69">
        <v>11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25</v>
      </c>
    </row>
    <row r="76" spans="1:1">
      <c r="A76">
        <v>2</v>
      </c>
    </row>
    <row r="77" spans="1:1">
      <c r="A77">
        <v>10</v>
      </c>
    </row>
    <row r="78" spans="1:1">
      <c r="A78">
        <v>30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1000</v>
      </c>
    </row>
    <row r="84" spans="1:1">
      <c r="A84">
        <v>0</v>
      </c>
    </row>
    <row r="85" spans="1:1">
      <c r="A85">
        <v>115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2</v>
      </c>
    </row>
    <row r="100" spans="1:1">
      <c r="A100">
        <v>999</v>
      </c>
    </row>
    <row r="101" spans="1:1">
      <c r="A101">
        <v>999</v>
      </c>
    </row>
    <row r="102" spans="1:1">
      <c r="A102">
        <v>138</v>
      </c>
    </row>
    <row r="103" spans="1:1">
      <c r="A103">
        <v>146</v>
      </c>
    </row>
    <row r="104" spans="1:1">
      <c r="A104">
        <v>138</v>
      </c>
    </row>
    <row r="105" spans="1:1">
      <c r="A105" t="s">
        <v>332</v>
      </c>
    </row>
    <row r="106" spans="1:1">
      <c r="A106" t="s">
        <v>333</v>
      </c>
    </row>
    <row r="107" spans="1:1">
      <c r="A107" t="s">
        <v>334</v>
      </c>
    </row>
    <row r="108" spans="1:1">
      <c r="A108">
        <v>2625</v>
      </c>
    </row>
    <row r="109" spans="1:1">
      <c r="A109">
        <v>1475</v>
      </c>
    </row>
    <row r="110" spans="1:1">
      <c r="A110">
        <v>720</v>
      </c>
    </row>
    <row r="111" spans="1:1">
      <c r="A111">
        <v>2719</v>
      </c>
    </row>
    <row r="112" spans="1:1">
      <c r="A112">
        <v>1530</v>
      </c>
    </row>
    <row r="113" spans="1:1">
      <c r="A113">
        <v>747</v>
      </c>
    </row>
    <row r="114" spans="1:1">
      <c r="A114">
        <v>94</v>
      </c>
    </row>
    <row r="115" spans="1:1">
      <c r="A115">
        <v>55</v>
      </c>
    </row>
    <row r="116" spans="1:1">
      <c r="A116">
        <v>27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700</v>
      </c>
    </row>
    <row r="122" spans="1:1">
      <c r="A122">
        <v>925</v>
      </c>
    </row>
    <row r="123" spans="1:1">
      <c r="A123">
        <v>1000</v>
      </c>
    </row>
    <row r="124" spans="1:1">
      <c r="A124">
        <v>400</v>
      </c>
    </row>
    <row r="125" spans="1:1">
      <c r="A125">
        <v>475</v>
      </c>
    </row>
    <row r="126" spans="1:1">
      <c r="A126">
        <v>600</v>
      </c>
    </row>
    <row r="127" spans="1:1">
      <c r="A127">
        <v>220</v>
      </c>
    </row>
    <row r="128" spans="1:1">
      <c r="A128">
        <v>250</v>
      </c>
    </row>
    <row r="129" spans="1:1">
      <c r="A129">
        <v>250</v>
      </c>
    </row>
    <row r="130" spans="1:1">
      <c r="A130">
        <v>999</v>
      </c>
    </row>
    <row r="131" spans="1:1">
      <c r="A131">
        <v>707</v>
      </c>
    </row>
    <row r="132" spans="1:1">
      <c r="A132">
        <v>889</v>
      </c>
    </row>
    <row r="133" spans="1:1">
      <c r="A133">
        <v>1004</v>
      </c>
    </row>
    <row r="134" spans="1:1">
      <c r="A134">
        <v>362</v>
      </c>
    </row>
    <row r="135" spans="1:1">
      <c r="A135">
        <v>422</v>
      </c>
    </row>
    <row r="136" spans="1:1">
      <c r="A136">
        <v>618</v>
      </c>
    </row>
    <row r="137" spans="1:1">
      <c r="A137">
        <v>224</v>
      </c>
    </row>
    <row r="138" spans="1:1">
      <c r="A138">
        <v>246</v>
      </c>
    </row>
    <row r="139" spans="1:1">
      <c r="A139">
        <v>325</v>
      </c>
    </row>
    <row r="140" spans="1:1">
      <c r="A140">
        <v>999</v>
      </c>
    </row>
    <row r="141" spans="1:1">
      <c r="A141">
        <v>700</v>
      </c>
    </row>
    <row r="142" spans="1:1">
      <c r="A142">
        <v>925</v>
      </c>
    </row>
    <row r="143" spans="1:1">
      <c r="A143">
        <v>1000</v>
      </c>
    </row>
    <row r="144" spans="1:1">
      <c r="A144">
        <v>365</v>
      </c>
    </row>
    <row r="145" spans="1:1">
      <c r="A145">
        <v>432</v>
      </c>
    </row>
    <row r="146" spans="1:1">
      <c r="A146">
        <v>600</v>
      </c>
    </row>
    <row r="147" spans="1:1">
      <c r="A147">
        <v>220</v>
      </c>
    </row>
    <row r="148" spans="1:1">
      <c r="A148">
        <v>250</v>
      </c>
    </row>
    <row r="149" spans="1:1">
      <c r="A149">
        <v>250</v>
      </c>
    </row>
    <row r="150" spans="1:1">
      <c r="A150">
        <v>999</v>
      </c>
    </row>
    <row r="151" spans="1:1">
      <c r="A151">
        <v>55</v>
      </c>
    </row>
    <row r="152" spans="1:1">
      <c r="A152">
        <v>17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11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35</v>
      </c>
    </row>
    <row r="165" spans="1:1">
      <c r="A165">
        <v>43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999</v>
      </c>
    </row>
    <row r="171" spans="1:1">
      <c r="A171">
        <v>109</v>
      </c>
    </row>
    <row r="172" spans="1:1">
      <c r="A172">
        <v>62</v>
      </c>
    </row>
    <row r="173" spans="1:1">
      <c r="A173">
        <v>33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335</v>
      </c>
    </row>
    <row r="178" spans="1:1">
      <c r="A178" t="s">
        <v>335</v>
      </c>
    </row>
    <row r="179" spans="1:1">
      <c r="A179" t="s">
        <v>336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26</v>
      </c>
    </row>
    <row r="192" spans="1:1">
      <c r="A192">
        <v>76</v>
      </c>
    </row>
    <row r="193" spans="1:1">
      <c r="A193">
        <v>0</v>
      </c>
    </row>
    <row r="194" spans="1:1">
      <c r="A194">
        <v>12</v>
      </c>
    </row>
    <row r="195" spans="1:1">
      <c r="A195">
        <v>0</v>
      </c>
    </row>
    <row r="196" spans="1:1">
      <c r="A196">
        <v>0</v>
      </c>
    </row>
    <row r="197" spans="1:1">
      <c r="A197">
        <v>26</v>
      </c>
    </row>
    <row r="198" spans="1:1">
      <c r="A198">
        <v>76</v>
      </c>
    </row>
    <row r="199" spans="1:1">
      <c r="A199">
        <v>999</v>
      </c>
    </row>
    <row r="200" spans="1:1">
      <c r="A200">
        <v>999</v>
      </c>
    </row>
    <row r="201" spans="1:1">
      <c r="A201">
        <v>360000</v>
      </c>
    </row>
    <row r="202" spans="1:1">
      <c r="A202">
        <v>103070</v>
      </c>
    </row>
    <row r="203" spans="1:1">
      <c r="A203">
        <v>35110</v>
      </c>
    </row>
    <row r="204" spans="1:1">
      <c r="A204">
        <v>256717</v>
      </c>
    </row>
    <row r="205" spans="1:1">
      <c r="A205">
        <v>23555</v>
      </c>
    </row>
    <row r="206" spans="1:1">
      <c r="A206">
        <v>24090</v>
      </c>
    </row>
    <row r="207" spans="1:1">
      <c r="A207">
        <v>90000</v>
      </c>
    </row>
    <row r="208" spans="1:1">
      <c r="A208">
        <v>30000</v>
      </c>
    </row>
    <row r="209" spans="1:1">
      <c r="A209">
        <v>12000</v>
      </c>
    </row>
    <row r="210" spans="1:1">
      <c r="A210">
        <v>23375</v>
      </c>
    </row>
    <row r="211" spans="1:1">
      <c r="A211">
        <v>7655</v>
      </c>
    </row>
    <row r="212" spans="1:1">
      <c r="A212">
        <v>7500</v>
      </c>
    </row>
    <row r="213" spans="1:1">
      <c r="A213">
        <v>4742</v>
      </c>
    </row>
    <row r="214" spans="1:1">
      <c r="A214">
        <v>11527</v>
      </c>
    </row>
    <row r="215" spans="1:1">
      <c r="A215">
        <v>115000</v>
      </c>
    </row>
    <row r="216" spans="1:1">
      <c r="A216">
        <v>19452</v>
      </c>
    </row>
    <row r="217" spans="1:1">
      <c r="A217">
        <v>1123793</v>
      </c>
    </row>
    <row r="218" spans="1:1">
      <c r="A218">
        <v>2391823</v>
      </c>
    </row>
    <row r="219" spans="1:1">
      <c r="A219">
        <v>600</v>
      </c>
    </row>
    <row r="220" spans="1:1">
      <c r="A220">
        <v>6587</v>
      </c>
    </row>
    <row r="221" spans="1:1">
      <c r="A221">
        <v>2391823</v>
      </c>
    </row>
    <row r="222" spans="1:1">
      <c r="A222">
        <v>0</v>
      </c>
    </row>
    <row r="223" spans="1:1">
      <c r="A223">
        <v>1864405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527418</v>
      </c>
    </row>
    <row r="234" spans="1:1">
      <c r="A234">
        <v>863354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860000</v>
      </c>
    </row>
    <row r="239" spans="1:1">
      <c r="A239">
        <v>1863000</v>
      </c>
    </row>
    <row r="240" spans="1:1">
      <c r="A240">
        <v>0</v>
      </c>
    </row>
    <row r="241" spans="1:1">
      <c r="A241">
        <v>2319070</v>
      </c>
    </row>
    <row r="242" spans="1:1">
      <c r="A242">
        <v>99633</v>
      </c>
    </row>
    <row r="243" spans="1:1">
      <c r="A243">
        <v>0</v>
      </c>
    </row>
    <row r="244" spans="1:1">
      <c r="A244">
        <v>233882</v>
      </c>
    </row>
    <row r="245" spans="1:1">
      <c r="A245">
        <v>121536</v>
      </c>
    </row>
    <row r="246" spans="1:1">
      <c r="A246">
        <v>274560</v>
      </c>
    </row>
    <row r="247" spans="1:1">
      <c r="A247">
        <v>149160</v>
      </c>
    </row>
    <row r="248" spans="1:1">
      <c r="A248">
        <v>4996</v>
      </c>
    </row>
    <row r="249" spans="1:1">
      <c r="A249">
        <v>73350</v>
      </c>
    </row>
    <row r="250" spans="1:1">
      <c r="A250">
        <v>12168</v>
      </c>
    </row>
    <row r="251" spans="1:1">
      <c r="A251">
        <v>944949</v>
      </c>
    </row>
    <row r="252" spans="1:1">
      <c r="A252">
        <v>1374121</v>
      </c>
    </row>
    <row r="253" spans="1:1">
      <c r="A253">
        <v>0</v>
      </c>
    </row>
    <row r="254" spans="1:1">
      <c r="A254">
        <v>57349</v>
      </c>
    </row>
    <row r="255" spans="1:1">
      <c r="A255">
        <v>0</v>
      </c>
    </row>
    <row r="256" spans="1:1">
      <c r="A256">
        <v>192979</v>
      </c>
    </row>
    <row r="257" spans="1:1">
      <c r="A257">
        <v>192979</v>
      </c>
    </row>
    <row r="258" spans="1:1">
      <c r="A258">
        <v>999</v>
      </c>
    </row>
    <row r="259" spans="1:1">
      <c r="A259">
        <v>999</v>
      </c>
    </row>
    <row r="260" spans="1:1">
      <c r="A260">
        <v>888304</v>
      </c>
    </row>
    <row r="261" spans="1:1">
      <c r="A261">
        <v>450000</v>
      </c>
    </row>
    <row r="262" spans="1:1">
      <c r="A262">
        <v>450000</v>
      </c>
    </row>
    <row r="263" spans="1:1">
      <c r="A263">
        <v>2236530</v>
      </c>
    </row>
    <row r="264" spans="1:1">
      <c r="A264">
        <v>0</v>
      </c>
    </row>
    <row r="265" spans="1:1">
      <c r="A265">
        <v>12168</v>
      </c>
    </row>
    <row r="266" spans="1:1">
      <c r="A266">
        <v>0</v>
      </c>
    </row>
    <row r="267" spans="1:1">
      <c r="A267">
        <v>0</v>
      </c>
    </row>
    <row r="268" spans="1:1">
      <c r="A268">
        <v>1378455</v>
      </c>
    </row>
    <row r="269" spans="1:1">
      <c r="A269">
        <v>1390772</v>
      </c>
    </row>
    <row r="270" spans="1:1">
      <c r="A270">
        <v>0</v>
      </c>
    </row>
    <row r="271" spans="1:1">
      <c r="A271">
        <v>201231</v>
      </c>
    </row>
    <row r="272" spans="1:1">
      <c r="A272">
        <v>635411</v>
      </c>
    </row>
    <row r="273" spans="1:1">
      <c r="A273">
        <v>0</v>
      </c>
    </row>
    <row r="274" spans="1:1">
      <c r="A274">
        <v>0</v>
      </c>
    </row>
    <row r="275" spans="1:1">
      <c r="A275">
        <v>4000000</v>
      </c>
    </row>
    <row r="276" spans="1:1">
      <c r="A276">
        <v>0</v>
      </c>
    </row>
    <row r="277" spans="1:1">
      <c r="A277">
        <v>5081283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9000</v>
      </c>
    </row>
    <row r="282" spans="1:1">
      <c r="A282">
        <v>999</v>
      </c>
    </row>
    <row r="283" spans="1:1">
      <c r="A283">
        <v>999</v>
      </c>
    </row>
    <row r="284" spans="1:1">
      <c r="A284">
        <v>900</v>
      </c>
    </row>
    <row r="285" spans="1:1">
      <c r="A285">
        <v>275</v>
      </c>
    </row>
    <row r="286" spans="1:1">
      <c r="A286">
        <v>260</v>
      </c>
    </row>
    <row r="287" spans="1:1">
      <c r="A287">
        <v>0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11</v>
      </c>
    </row>
    <row r="293" spans="1:1">
      <c r="A293">
        <v>0</v>
      </c>
    </row>
    <row r="294" spans="1:1">
      <c r="A294">
        <v>11</v>
      </c>
    </row>
    <row r="295" spans="1:1">
      <c r="A295">
        <v>1434</v>
      </c>
    </row>
    <row r="296" spans="1:1">
      <c r="A296">
        <v>5</v>
      </c>
    </row>
    <row r="297" spans="1:1">
      <c r="A297">
        <v>500</v>
      </c>
    </row>
    <row r="298" spans="1:1">
      <c r="A298">
        <v>6</v>
      </c>
    </row>
    <row r="299" spans="1:1">
      <c r="A299">
        <v>300</v>
      </c>
    </row>
    <row r="300" spans="1:1">
      <c r="A300">
        <v>7</v>
      </c>
    </row>
    <row r="301" spans="1:1">
      <c r="A301">
        <v>11748</v>
      </c>
    </row>
    <row r="302" spans="1:1">
      <c r="A302">
        <v>38</v>
      </c>
    </row>
    <row r="303" spans="1:1">
      <c r="A303">
        <v>6652</v>
      </c>
    </row>
    <row r="304" spans="1:1">
      <c r="A304" t="s">
        <v>337</v>
      </c>
    </row>
    <row r="305" spans="1:2">
      <c r="A305">
        <v>14976</v>
      </c>
    </row>
    <row r="306" spans="1:2">
      <c r="A306">
        <v>234</v>
      </c>
      <c r="B306" s="131" t="s">
        <v>338</v>
      </c>
    </row>
    <row r="307" spans="1:2">
      <c r="A307">
        <v>13464</v>
      </c>
    </row>
    <row r="308" spans="1:2">
      <c r="A308">
        <v>0</v>
      </c>
    </row>
    <row r="309" spans="1:2">
      <c r="A309">
        <v>999</v>
      </c>
    </row>
    <row r="310" spans="1:2">
      <c r="A310">
        <v>999</v>
      </c>
    </row>
    <row r="311" spans="1:2">
      <c r="A311">
        <v>3098</v>
      </c>
    </row>
    <row r="312" spans="1:2">
      <c r="A312">
        <v>0</v>
      </c>
    </row>
    <row r="313" spans="1:2">
      <c r="A313">
        <v>4922</v>
      </c>
    </row>
    <row r="314" spans="1:2">
      <c r="A314">
        <v>0</v>
      </c>
    </row>
    <row r="315" spans="1:2">
      <c r="A315">
        <v>8020</v>
      </c>
    </row>
    <row r="316" spans="1:2">
      <c r="A316">
        <v>0</v>
      </c>
    </row>
    <row r="317" spans="1:2">
      <c r="A317">
        <v>0</v>
      </c>
    </row>
    <row r="318" spans="1:2">
      <c r="A318">
        <v>10</v>
      </c>
    </row>
    <row r="319" spans="1:2">
      <c r="A319">
        <v>79590</v>
      </c>
    </row>
    <row r="320" spans="1:2">
      <c r="A320">
        <v>942</v>
      </c>
    </row>
    <row r="321" spans="1:1">
      <c r="A321">
        <v>2</v>
      </c>
    </row>
    <row r="322" spans="1:1">
      <c r="A322">
        <v>3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3</v>
      </c>
    </row>
    <row r="327" spans="1:1">
      <c r="A327">
        <v>10</v>
      </c>
    </row>
    <row r="328" spans="1:1">
      <c r="A328">
        <v>10</v>
      </c>
    </row>
    <row r="329" spans="1:1">
      <c r="A329">
        <v>83</v>
      </c>
    </row>
    <row r="330" spans="1:1">
      <c r="A330" s="131" t="s">
        <v>339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360000</v>
      </c>
    </row>
    <row r="423" spans="1:1">
      <c r="A423">
        <v>90000</v>
      </c>
    </row>
    <row r="424" spans="1:1">
      <c r="A424" s="132" t="s">
        <v>340</v>
      </c>
    </row>
    <row r="425" spans="1:1">
      <c r="A425" s="132" t="s">
        <v>340</v>
      </c>
    </row>
    <row r="426" spans="1:1">
      <c r="A426" s="132" t="s">
        <v>340</v>
      </c>
    </row>
    <row r="427" spans="1:1">
      <c r="A427" s="132" t="s">
        <v>340</v>
      </c>
    </row>
    <row r="428" spans="1:1">
      <c r="A428">
        <v>2</v>
      </c>
    </row>
    <row r="429" spans="1:1">
      <c r="A429">
        <v>360000</v>
      </c>
    </row>
    <row r="430" spans="1:1">
      <c r="A430">
        <v>90000</v>
      </c>
    </row>
    <row r="431" spans="1:1">
      <c r="A431" s="132" t="s">
        <v>340</v>
      </c>
    </row>
    <row r="432" spans="1:1">
      <c r="A432" s="132" t="s">
        <v>340</v>
      </c>
    </row>
    <row r="433" spans="1:1">
      <c r="A433" s="132" t="s">
        <v>340</v>
      </c>
    </row>
    <row r="434" spans="1:1">
      <c r="A434" s="132" t="s">
        <v>340</v>
      </c>
    </row>
    <row r="435" spans="1:1">
      <c r="A435">
        <v>3</v>
      </c>
    </row>
    <row r="436" spans="1:1">
      <c r="A436">
        <v>360000</v>
      </c>
    </row>
    <row r="437" spans="1:1">
      <c r="A437">
        <v>90000</v>
      </c>
    </row>
    <row r="438" spans="1:1">
      <c r="A438" s="132" t="s">
        <v>340</v>
      </c>
    </row>
    <row r="439" spans="1:1">
      <c r="A439" s="132" t="s">
        <v>340</v>
      </c>
    </row>
    <row r="440" spans="1:1">
      <c r="A440" s="132" t="s">
        <v>340</v>
      </c>
    </row>
    <row r="441" spans="1:1">
      <c r="A441" s="132" t="s">
        <v>340</v>
      </c>
    </row>
    <row r="442" spans="1:1">
      <c r="A442">
        <v>4</v>
      </c>
    </row>
    <row r="443" spans="1:1">
      <c r="A443">
        <v>360000</v>
      </c>
    </row>
    <row r="444" spans="1:1">
      <c r="A444">
        <v>90000</v>
      </c>
    </row>
    <row r="445" spans="1:1">
      <c r="A445" s="132" t="s">
        <v>340</v>
      </c>
    </row>
    <row r="446" spans="1:1">
      <c r="A446" s="132" t="s">
        <v>340</v>
      </c>
    </row>
    <row r="447" spans="1:1">
      <c r="A447" s="132" t="s">
        <v>340</v>
      </c>
    </row>
    <row r="448" spans="1:1">
      <c r="A448" s="132" t="s">
        <v>340</v>
      </c>
    </row>
    <row r="449" spans="1:1">
      <c r="A449">
        <v>5</v>
      </c>
    </row>
    <row r="450" spans="1:1">
      <c r="A450">
        <v>360000</v>
      </c>
    </row>
    <row r="451" spans="1:1">
      <c r="A451">
        <v>90000</v>
      </c>
    </row>
    <row r="452" spans="1:1">
      <c r="A452" s="132" t="s">
        <v>340</v>
      </c>
    </row>
    <row r="453" spans="1:1">
      <c r="A453" s="132" t="s">
        <v>340</v>
      </c>
    </row>
    <row r="454" spans="1:1">
      <c r="A454" s="132" t="s">
        <v>340</v>
      </c>
    </row>
    <row r="455" spans="1:1">
      <c r="A455" s="132" t="s">
        <v>340</v>
      </c>
    </row>
    <row r="456" spans="1:1">
      <c r="A456">
        <v>6</v>
      </c>
    </row>
    <row r="457" spans="1:1">
      <c r="A457">
        <v>360000</v>
      </c>
    </row>
    <row r="458" spans="1:1">
      <c r="A458">
        <v>90000</v>
      </c>
    </row>
    <row r="459" spans="1:1">
      <c r="A459" s="132" t="s">
        <v>340</v>
      </c>
    </row>
    <row r="460" spans="1:1">
      <c r="A460" s="132" t="s">
        <v>340</v>
      </c>
    </row>
    <row r="461" spans="1:1">
      <c r="A461" s="132" t="s">
        <v>340</v>
      </c>
    </row>
    <row r="462" spans="1:1">
      <c r="A462" s="132" t="s">
        <v>340</v>
      </c>
    </row>
    <row r="463" spans="1:1">
      <c r="A463">
        <v>7</v>
      </c>
    </row>
    <row r="464" spans="1:1">
      <c r="A464">
        <v>360000</v>
      </c>
    </row>
    <row r="465" spans="1:1">
      <c r="A465">
        <v>90000</v>
      </c>
    </row>
    <row r="466" spans="1:1">
      <c r="A466" s="132" t="s">
        <v>340</v>
      </c>
    </row>
    <row r="467" spans="1:1">
      <c r="A467" s="132" t="s">
        <v>340</v>
      </c>
    </row>
    <row r="468" spans="1:1">
      <c r="A468" s="132" t="s">
        <v>340</v>
      </c>
    </row>
    <row r="469" spans="1:1">
      <c r="A469" s="132" t="s">
        <v>340</v>
      </c>
    </row>
    <row r="470" spans="1:1">
      <c r="A470">
        <v>8</v>
      </c>
    </row>
    <row r="471" spans="1:1">
      <c r="A471">
        <v>360000</v>
      </c>
    </row>
    <row r="472" spans="1:1">
      <c r="A472">
        <v>90000</v>
      </c>
    </row>
    <row r="473" spans="1:1">
      <c r="A473" s="132" t="s">
        <v>340</v>
      </c>
    </row>
    <row r="474" spans="1:1">
      <c r="A474" s="132" t="s">
        <v>340</v>
      </c>
    </row>
    <row r="475" spans="1:1">
      <c r="A475" s="132" t="s">
        <v>340</v>
      </c>
    </row>
    <row r="476" spans="1:1">
      <c r="A476" s="132" t="s">
        <v>340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341</v>
      </c>
    </row>
    <row r="501" spans="1:1">
      <c r="A501">
        <v>15</v>
      </c>
    </row>
    <row r="502" spans="1:1">
      <c r="A502">
        <v>10</v>
      </c>
    </row>
    <row r="503" spans="1:1">
      <c r="A503">
        <v>49</v>
      </c>
    </row>
    <row r="504" spans="1:1">
      <c r="A504">
        <v>5390</v>
      </c>
    </row>
    <row r="505" spans="1:1">
      <c r="A505">
        <v>3969</v>
      </c>
    </row>
    <row r="506" spans="1:1">
      <c r="A506">
        <v>5240</v>
      </c>
    </row>
    <row r="507" spans="1:1">
      <c r="A507">
        <v>61</v>
      </c>
    </row>
    <row r="508" spans="1:1">
      <c r="A508">
        <v>93</v>
      </c>
    </row>
    <row r="509" spans="1:1">
      <c r="A509">
        <v>1570</v>
      </c>
    </row>
    <row r="510" spans="1:1">
      <c r="A510">
        <v>-933</v>
      </c>
    </row>
    <row r="511" spans="1:1">
      <c r="A511">
        <v>114</v>
      </c>
    </row>
    <row r="512" spans="1:1">
      <c r="A512">
        <v>999</v>
      </c>
    </row>
    <row r="513" spans="1:1">
      <c r="A513">
        <v>999</v>
      </c>
    </row>
    <row r="514" spans="1:1">
      <c r="A514">
        <v>42983</v>
      </c>
    </row>
    <row r="515" spans="1:1">
      <c r="A515">
        <v>37705</v>
      </c>
    </row>
    <row r="516" spans="1:1">
      <c r="A516">
        <v>33777</v>
      </c>
    </row>
    <row r="517" spans="1:1">
      <c r="A517">
        <v>31208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13613</v>
      </c>
    </row>
    <row r="523" spans="1:1">
      <c r="A523">
        <v>5445200</v>
      </c>
    </row>
    <row r="524" spans="1:1">
      <c r="A524">
        <v>0</v>
      </c>
    </row>
    <row r="525" spans="1:1">
      <c r="A525">
        <v>5609444</v>
      </c>
    </row>
    <row r="526" spans="1:1">
      <c r="A526">
        <v>360</v>
      </c>
    </row>
    <row r="527" spans="1:1">
      <c r="A527">
        <v>360</v>
      </c>
    </row>
    <row r="528" spans="1:1">
      <c r="A528">
        <v>340</v>
      </c>
    </row>
    <row r="529" spans="1:1">
      <c r="A529">
        <v>610</v>
      </c>
    </row>
    <row r="530" spans="1:1">
      <c r="A530">
        <v>610</v>
      </c>
    </row>
    <row r="531" spans="1:1">
      <c r="A531">
        <v>520</v>
      </c>
    </row>
    <row r="532" spans="1:1">
      <c r="A532">
        <v>850</v>
      </c>
    </row>
    <row r="533" spans="1:1">
      <c r="A533">
        <v>850</v>
      </c>
    </row>
    <row r="534" spans="1:1">
      <c r="A534">
        <v>740</v>
      </c>
    </row>
    <row r="535" spans="1:1">
      <c r="A535">
        <v>114</v>
      </c>
    </row>
    <row r="536" spans="1:1">
      <c r="A536">
        <v>1000</v>
      </c>
    </row>
    <row r="537" spans="1:1">
      <c r="A537">
        <v>5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13613</v>
      </c>
    </row>
    <row r="543" spans="1:1">
      <c r="A543">
        <v>5445200</v>
      </c>
    </row>
    <row r="544" spans="1:1">
      <c r="A544">
        <v>0</v>
      </c>
    </row>
    <row r="545" spans="1:2">
      <c r="A545">
        <v>5609444</v>
      </c>
    </row>
    <row r="546" spans="1:2">
      <c r="A546">
        <v>360</v>
      </c>
    </row>
    <row r="547" spans="1:2">
      <c r="A547">
        <v>360</v>
      </c>
    </row>
    <row r="548" spans="1:2">
      <c r="A548">
        <v>340</v>
      </c>
    </row>
    <row r="549" spans="1:2">
      <c r="A549">
        <v>610</v>
      </c>
    </row>
    <row r="550" spans="1:2">
      <c r="A550">
        <v>610</v>
      </c>
    </row>
    <row r="551" spans="1:2">
      <c r="A551">
        <v>520</v>
      </c>
    </row>
    <row r="552" spans="1:2">
      <c r="A552">
        <v>850</v>
      </c>
    </row>
    <row r="553" spans="1:2">
      <c r="A553">
        <v>850</v>
      </c>
      <c r="B553"/>
    </row>
    <row r="554" spans="1:2">
      <c r="A554">
        <v>740</v>
      </c>
      <c r="B554"/>
    </row>
    <row r="555" spans="1:2">
      <c r="A555">
        <v>114</v>
      </c>
      <c r="B555"/>
    </row>
    <row r="556" spans="1:2">
      <c r="A556">
        <v>1000</v>
      </c>
      <c r="B556"/>
    </row>
    <row r="557" spans="1:2">
      <c r="A557">
        <v>5</v>
      </c>
      <c r="B557"/>
    </row>
    <row r="558" spans="1:2">
      <c r="A558">
        <v>999</v>
      </c>
    </row>
    <row r="559" spans="1:2">
      <c r="A559">
        <v>999</v>
      </c>
    </row>
    <row r="560" spans="1:2">
      <c r="A560">
        <v>999</v>
      </c>
    </row>
    <row r="561" spans="1:1">
      <c r="A561">
        <v>3</v>
      </c>
    </row>
    <row r="562" spans="1:1">
      <c r="A562">
        <v>13613</v>
      </c>
    </row>
    <row r="563" spans="1:1">
      <c r="A563">
        <v>5445200</v>
      </c>
    </row>
    <row r="564" spans="1:1">
      <c r="A564">
        <v>0</v>
      </c>
    </row>
    <row r="565" spans="1:1">
      <c r="A565">
        <v>5609444</v>
      </c>
    </row>
    <row r="566" spans="1:1">
      <c r="A566">
        <v>360</v>
      </c>
    </row>
    <row r="567" spans="1:1">
      <c r="A567">
        <v>360</v>
      </c>
    </row>
    <row r="568" spans="1:1">
      <c r="A568">
        <v>340</v>
      </c>
    </row>
    <row r="569" spans="1:1">
      <c r="A569">
        <v>610</v>
      </c>
    </row>
    <row r="570" spans="1:1">
      <c r="A570">
        <v>610</v>
      </c>
    </row>
    <row r="571" spans="1:1">
      <c r="A571">
        <v>520</v>
      </c>
    </row>
    <row r="572" spans="1:1">
      <c r="A572">
        <v>850</v>
      </c>
    </row>
    <row r="573" spans="1:1">
      <c r="A573">
        <v>850</v>
      </c>
    </row>
    <row r="574" spans="1:1">
      <c r="A574">
        <v>740</v>
      </c>
    </row>
    <row r="575" spans="1:1">
      <c r="A575">
        <v>114</v>
      </c>
    </row>
    <row r="576" spans="1:1">
      <c r="A576">
        <v>1000</v>
      </c>
    </row>
    <row r="577" spans="1:1">
      <c r="A577">
        <v>5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13613</v>
      </c>
    </row>
    <row r="583" spans="1:1">
      <c r="A583">
        <v>5445200</v>
      </c>
    </row>
    <row r="584" spans="1:1">
      <c r="A584">
        <v>0</v>
      </c>
    </row>
    <row r="585" spans="1:1">
      <c r="A585">
        <v>5609444</v>
      </c>
    </row>
    <row r="586" spans="1:1">
      <c r="A586">
        <v>360</v>
      </c>
    </row>
    <row r="587" spans="1:1">
      <c r="A587">
        <v>360</v>
      </c>
    </row>
    <row r="588" spans="1:1">
      <c r="A588">
        <v>340</v>
      </c>
    </row>
    <row r="589" spans="1:1">
      <c r="A589">
        <v>610</v>
      </c>
    </row>
    <row r="590" spans="1:1">
      <c r="A590">
        <v>610</v>
      </c>
    </row>
    <row r="591" spans="1:1">
      <c r="A591">
        <v>520</v>
      </c>
    </row>
    <row r="592" spans="1:1">
      <c r="A592">
        <v>850</v>
      </c>
    </row>
    <row r="593" spans="1:1">
      <c r="A593">
        <v>850</v>
      </c>
    </row>
    <row r="594" spans="1:1">
      <c r="A594">
        <v>740</v>
      </c>
    </row>
    <row r="595" spans="1:1">
      <c r="A595">
        <v>114</v>
      </c>
    </row>
    <row r="596" spans="1:1">
      <c r="A596">
        <v>1000</v>
      </c>
    </row>
    <row r="597" spans="1:1">
      <c r="A597">
        <v>5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13613</v>
      </c>
    </row>
    <row r="603" spans="1:1">
      <c r="A603">
        <v>5445200</v>
      </c>
    </row>
    <row r="604" spans="1:1">
      <c r="A604">
        <v>0</v>
      </c>
    </row>
    <row r="605" spans="1:1">
      <c r="A605">
        <v>5609444</v>
      </c>
    </row>
    <row r="606" spans="1:1">
      <c r="A606">
        <v>360</v>
      </c>
    </row>
    <row r="607" spans="1:1">
      <c r="A607">
        <v>360</v>
      </c>
    </row>
    <row r="608" spans="1:1">
      <c r="A608">
        <v>340</v>
      </c>
    </row>
    <row r="609" spans="1:1">
      <c r="A609">
        <v>610</v>
      </c>
    </row>
    <row r="610" spans="1:1">
      <c r="A610">
        <v>610</v>
      </c>
    </row>
    <row r="611" spans="1:1">
      <c r="A611">
        <v>520</v>
      </c>
    </row>
    <row r="612" spans="1:1">
      <c r="A612">
        <v>850</v>
      </c>
    </row>
    <row r="613" spans="1:1">
      <c r="A613">
        <v>850</v>
      </c>
    </row>
    <row r="614" spans="1:1">
      <c r="A614">
        <v>740</v>
      </c>
    </row>
    <row r="615" spans="1:1">
      <c r="A615">
        <v>114</v>
      </c>
    </row>
    <row r="616" spans="1:1">
      <c r="A616">
        <v>1000</v>
      </c>
    </row>
    <row r="617" spans="1:1">
      <c r="A617">
        <v>5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13613</v>
      </c>
    </row>
    <row r="623" spans="1:1">
      <c r="A623">
        <v>5445200</v>
      </c>
    </row>
    <row r="624" spans="1:1">
      <c r="A624">
        <v>0</v>
      </c>
    </row>
    <row r="625" spans="1:1">
      <c r="A625">
        <v>5609444</v>
      </c>
    </row>
    <row r="626" spans="1:1">
      <c r="A626">
        <v>360</v>
      </c>
    </row>
    <row r="627" spans="1:1">
      <c r="A627">
        <v>360</v>
      </c>
    </row>
    <row r="628" spans="1:1">
      <c r="A628">
        <v>340</v>
      </c>
    </row>
    <row r="629" spans="1:1">
      <c r="A629">
        <v>610</v>
      </c>
    </row>
    <row r="630" spans="1:1">
      <c r="A630">
        <v>610</v>
      </c>
    </row>
    <row r="631" spans="1:1">
      <c r="A631">
        <v>520</v>
      </c>
    </row>
    <row r="632" spans="1:1">
      <c r="A632">
        <v>850</v>
      </c>
    </row>
    <row r="633" spans="1:1">
      <c r="A633">
        <v>850</v>
      </c>
    </row>
    <row r="634" spans="1:1">
      <c r="A634">
        <v>740</v>
      </c>
    </row>
    <row r="635" spans="1:1">
      <c r="A635">
        <v>114</v>
      </c>
    </row>
    <row r="636" spans="1:1">
      <c r="A636">
        <v>1000</v>
      </c>
    </row>
    <row r="637" spans="1:1">
      <c r="A637">
        <v>5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13613</v>
      </c>
    </row>
    <row r="643" spans="1:1">
      <c r="A643">
        <v>5445200</v>
      </c>
    </row>
    <row r="644" spans="1:1">
      <c r="A644">
        <v>0</v>
      </c>
    </row>
    <row r="645" spans="1:1">
      <c r="A645">
        <v>5609444</v>
      </c>
    </row>
    <row r="646" spans="1:1">
      <c r="A646">
        <v>360</v>
      </c>
    </row>
    <row r="647" spans="1:1">
      <c r="A647">
        <v>360</v>
      </c>
    </row>
    <row r="648" spans="1:1">
      <c r="A648">
        <v>340</v>
      </c>
    </row>
    <row r="649" spans="1:1">
      <c r="A649">
        <v>610</v>
      </c>
    </row>
    <row r="650" spans="1:1">
      <c r="A650">
        <v>610</v>
      </c>
    </row>
    <row r="651" spans="1:1">
      <c r="A651">
        <v>520</v>
      </c>
    </row>
    <row r="652" spans="1:1">
      <c r="A652">
        <v>850</v>
      </c>
    </row>
    <row r="653" spans="1:1">
      <c r="A653">
        <v>850</v>
      </c>
    </row>
    <row r="654" spans="1:1">
      <c r="A654">
        <v>740</v>
      </c>
    </row>
    <row r="655" spans="1:1">
      <c r="A655">
        <v>114</v>
      </c>
    </row>
    <row r="656" spans="1:1">
      <c r="A656">
        <v>1000</v>
      </c>
    </row>
    <row r="657" spans="1:1">
      <c r="A657">
        <v>5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13613</v>
      </c>
    </row>
    <row r="663" spans="1:1">
      <c r="A663">
        <v>5445200</v>
      </c>
    </row>
    <row r="664" spans="1:1">
      <c r="A664">
        <v>0</v>
      </c>
    </row>
    <row r="665" spans="1:1">
      <c r="A665">
        <v>5609444</v>
      </c>
    </row>
    <row r="666" spans="1:1">
      <c r="A666">
        <v>360</v>
      </c>
    </row>
    <row r="667" spans="1:1">
      <c r="A667">
        <v>360</v>
      </c>
    </row>
    <row r="668" spans="1:1">
      <c r="A668">
        <v>340</v>
      </c>
    </row>
    <row r="669" spans="1:1">
      <c r="A669">
        <v>610</v>
      </c>
    </row>
    <row r="670" spans="1:1">
      <c r="A670">
        <v>610</v>
      </c>
    </row>
    <row r="671" spans="1:1">
      <c r="A671">
        <v>520</v>
      </c>
    </row>
    <row r="672" spans="1:1">
      <c r="A672">
        <v>850</v>
      </c>
    </row>
    <row r="673" spans="1:1">
      <c r="A673">
        <v>850</v>
      </c>
    </row>
    <row r="674" spans="1:1">
      <c r="A674">
        <v>740</v>
      </c>
    </row>
    <row r="675" spans="1:1">
      <c r="A675">
        <v>114</v>
      </c>
    </row>
    <row r="676" spans="1:1">
      <c r="A676">
        <v>1000</v>
      </c>
    </row>
    <row r="677" spans="1:1">
      <c r="A677">
        <v>5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342</v>
      </c>
    </row>
    <row r="682" spans="1:1">
      <c r="A682" t="s">
        <v>343</v>
      </c>
    </row>
    <row r="683" spans="1:1">
      <c r="A683" t="s">
        <v>344</v>
      </c>
    </row>
    <row r="684" spans="1:1">
      <c r="A684" t="s">
        <v>345</v>
      </c>
    </row>
    <row r="685" spans="1:1">
      <c r="A685" t="s">
        <v>346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3136530</v>
      </c>
    </row>
    <row r="703" spans="1:1">
      <c r="A703">
        <v>12168</v>
      </c>
    </row>
    <row r="704" spans="1:1">
      <c r="A704">
        <v>1378455</v>
      </c>
    </row>
    <row r="705" spans="1:1">
      <c r="A705">
        <v>1390772</v>
      </c>
    </row>
    <row r="706" spans="1:1">
      <c r="A706">
        <v>999</v>
      </c>
    </row>
    <row r="707" spans="1:1">
      <c r="A707">
        <v>999</v>
      </c>
    </row>
    <row r="708" spans="1:1">
      <c r="A708">
        <v>201231</v>
      </c>
    </row>
    <row r="709" spans="1:1">
      <c r="A709">
        <v>635411</v>
      </c>
    </row>
    <row r="710" spans="1:1">
      <c r="A710">
        <v>0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4000000</v>
      </c>
    </row>
    <row r="715" spans="1:1">
      <c r="A715">
        <v>0</v>
      </c>
    </row>
    <row r="716" spans="1:1">
      <c r="A716">
        <v>1081283</v>
      </c>
    </row>
    <row r="717" spans="1:1">
      <c r="A717">
        <v>5081283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3136530</v>
      </c>
    </row>
    <row r="723" spans="1:1">
      <c r="A723">
        <v>12168</v>
      </c>
    </row>
    <row r="724" spans="1:1">
      <c r="A724">
        <v>1378455</v>
      </c>
    </row>
    <row r="725" spans="1:1">
      <c r="A725">
        <v>1390772</v>
      </c>
    </row>
    <row r="726" spans="1:1">
      <c r="A726">
        <v>999</v>
      </c>
    </row>
    <row r="727" spans="1:1">
      <c r="A727">
        <v>999</v>
      </c>
    </row>
    <row r="728" spans="1:1">
      <c r="A728">
        <v>201231</v>
      </c>
    </row>
    <row r="729" spans="1:1">
      <c r="A729">
        <v>635411</v>
      </c>
    </row>
    <row r="730" spans="1:1">
      <c r="A730">
        <v>0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4000000</v>
      </c>
    </row>
    <row r="735" spans="1:1">
      <c r="A735">
        <v>0</v>
      </c>
    </row>
    <row r="736" spans="1:1">
      <c r="A736">
        <v>1081283</v>
      </c>
    </row>
    <row r="737" spans="1:1">
      <c r="A737">
        <v>5081283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3136530</v>
      </c>
    </row>
    <row r="743" spans="1:1">
      <c r="A743">
        <v>12168</v>
      </c>
    </row>
    <row r="744" spans="1:1">
      <c r="A744">
        <v>1378455</v>
      </c>
    </row>
    <row r="745" spans="1:1">
      <c r="A745">
        <v>1390772</v>
      </c>
    </row>
    <row r="746" spans="1:1">
      <c r="A746">
        <v>999</v>
      </c>
    </row>
    <row r="747" spans="1:1">
      <c r="A747">
        <v>999</v>
      </c>
    </row>
    <row r="748" spans="1:1">
      <c r="A748">
        <v>201231</v>
      </c>
    </row>
    <row r="749" spans="1:1">
      <c r="A749">
        <v>635411</v>
      </c>
    </row>
    <row r="750" spans="1:1">
      <c r="A750">
        <v>0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4000000</v>
      </c>
    </row>
    <row r="755" spans="1:1">
      <c r="A755">
        <v>0</v>
      </c>
    </row>
    <row r="756" spans="1:1">
      <c r="A756">
        <v>1081283</v>
      </c>
    </row>
    <row r="757" spans="1:1">
      <c r="A757">
        <v>5081283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3136530</v>
      </c>
    </row>
    <row r="763" spans="1:1">
      <c r="A763">
        <v>12168</v>
      </c>
    </row>
    <row r="764" spans="1:1">
      <c r="A764">
        <v>1378455</v>
      </c>
    </row>
    <row r="765" spans="1:1">
      <c r="A765">
        <v>1390772</v>
      </c>
    </row>
    <row r="766" spans="1:1">
      <c r="A766">
        <v>999</v>
      </c>
    </row>
    <row r="767" spans="1:1">
      <c r="A767">
        <v>999</v>
      </c>
    </row>
    <row r="768" spans="1:1">
      <c r="A768">
        <v>201231</v>
      </c>
    </row>
    <row r="769" spans="1:1">
      <c r="A769">
        <v>635411</v>
      </c>
    </row>
    <row r="770" spans="1:1">
      <c r="A770">
        <v>0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4000000</v>
      </c>
    </row>
    <row r="775" spans="1:1">
      <c r="A775">
        <v>0</v>
      </c>
    </row>
    <row r="776" spans="1:1">
      <c r="A776">
        <v>1081283</v>
      </c>
    </row>
    <row r="777" spans="1:1">
      <c r="A777">
        <v>5081283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3136530</v>
      </c>
    </row>
    <row r="783" spans="1:1">
      <c r="A783">
        <v>12168</v>
      </c>
    </row>
    <row r="784" spans="1:1">
      <c r="A784">
        <v>1378455</v>
      </c>
    </row>
    <row r="785" spans="1:1">
      <c r="A785">
        <v>1390772</v>
      </c>
    </row>
    <row r="786" spans="1:1">
      <c r="A786">
        <v>999</v>
      </c>
    </row>
    <row r="787" spans="1:1">
      <c r="A787">
        <v>999</v>
      </c>
    </row>
    <row r="788" spans="1:1">
      <c r="A788">
        <v>201231</v>
      </c>
    </row>
    <row r="789" spans="1:1">
      <c r="A789">
        <v>635411</v>
      </c>
    </row>
    <row r="790" spans="1:1">
      <c r="A790">
        <v>0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4000000</v>
      </c>
    </row>
    <row r="795" spans="1:1">
      <c r="A795">
        <v>0</v>
      </c>
    </row>
    <row r="796" spans="1:1">
      <c r="A796">
        <v>1081283</v>
      </c>
    </row>
    <row r="797" spans="1:1">
      <c r="A797">
        <v>5081283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3136530</v>
      </c>
    </row>
    <row r="803" spans="1:1">
      <c r="A803">
        <v>12168</v>
      </c>
    </row>
    <row r="804" spans="1:1">
      <c r="A804">
        <v>1378455</v>
      </c>
    </row>
    <row r="805" spans="1:1">
      <c r="A805">
        <v>1390772</v>
      </c>
    </row>
    <row r="806" spans="1:1">
      <c r="A806">
        <v>999</v>
      </c>
    </row>
    <row r="807" spans="1:1">
      <c r="A807">
        <v>999</v>
      </c>
    </row>
    <row r="808" spans="1:1">
      <c r="A808">
        <v>201231</v>
      </c>
    </row>
    <row r="809" spans="1:1">
      <c r="A809">
        <v>635411</v>
      </c>
    </row>
    <row r="810" spans="1:1">
      <c r="A810">
        <v>0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4000000</v>
      </c>
    </row>
    <row r="815" spans="1:1">
      <c r="A815">
        <v>0</v>
      </c>
    </row>
    <row r="816" spans="1:1">
      <c r="A816">
        <v>1081283</v>
      </c>
    </row>
    <row r="817" spans="1:1">
      <c r="A817">
        <v>5081283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3136530</v>
      </c>
    </row>
    <row r="823" spans="1:1">
      <c r="A823">
        <v>12168</v>
      </c>
    </row>
    <row r="824" spans="1:1">
      <c r="A824">
        <v>1378455</v>
      </c>
    </row>
    <row r="825" spans="1:1">
      <c r="A825">
        <v>1390772</v>
      </c>
    </row>
    <row r="826" spans="1:1">
      <c r="A826">
        <v>999</v>
      </c>
    </row>
    <row r="827" spans="1:1">
      <c r="A827">
        <v>999</v>
      </c>
    </row>
    <row r="828" spans="1:1">
      <c r="A828">
        <v>201231</v>
      </c>
    </row>
    <row r="829" spans="1:1">
      <c r="A829">
        <v>635411</v>
      </c>
    </row>
    <row r="830" spans="1:1">
      <c r="A830">
        <v>0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4000000</v>
      </c>
    </row>
    <row r="835" spans="1:1">
      <c r="A835">
        <v>0</v>
      </c>
    </row>
    <row r="836" spans="1:1">
      <c r="A836">
        <v>1081283</v>
      </c>
    </row>
    <row r="837" spans="1:1">
      <c r="A837">
        <v>5081283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3136530</v>
      </c>
    </row>
    <row r="843" spans="1:1">
      <c r="A843">
        <v>12168</v>
      </c>
    </row>
    <row r="844" spans="1:1">
      <c r="A844">
        <v>1378455</v>
      </c>
    </row>
    <row r="845" spans="1:1">
      <c r="A845">
        <v>1390772</v>
      </c>
    </row>
    <row r="846" spans="1:1">
      <c r="A846">
        <v>999</v>
      </c>
    </row>
    <row r="847" spans="1:1">
      <c r="A847">
        <v>999</v>
      </c>
    </row>
    <row r="848" spans="1:1">
      <c r="A848">
        <v>201231</v>
      </c>
    </row>
    <row r="849" spans="1:1">
      <c r="A849">
        <v>635411</v>
      </c>
    </row>
    <row r="850" spans="1:1">
      <c r="A850">
        <v>0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4000000</v>
      </c>
    </row>
    <row r="855" spans="1:1">
      <c r="A855">
        <v>0</v>
      </c>
    </row>
    <row r="856" spans="1:1">
      <c r="A856">
        <v>1081283</v>
      </c>
    </row>
    <row r="857" spans="1:1">
      <c r="A857">
        <v>5081283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>
        <v>153</v>
      </c>
    </row>
    <row r="862" spans="1:1">
      <c r="A862">
        <v>1</v>
      </c>
    </row>
    <row r="863" spans="1:1">
      <c r="A863">
        <v>20</v>
      </c>
    </row>
    <row r="864" spans="1:1">
      <c r="A864">
        <v>1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Your decisions</vt:lpstr>
      <vt:lpstr>Resources and products</vt:lpstr>
      <vt:lpstr>Financial statements</vt:lpstr>
      <vt:lpstr>Group information</vt:lpstr>
      <vt:lpstr>W</vt:lpstr>
      <vt:lpstr>W!W201141</vt:lpstr>
      <vt:lpstr>'Financial statements'!Область_печати</vt:lpstr>
      <vt:lpstr>'Group information'!Область_печати</vt:lpstr>
      <vt:lpstr>'Resources and products'!Область_печати</vt:lpstr>
      <vt:lpstr>'Your decisions'!Область_печати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2013-04-15T11:39:43Z</cp:lastPrinted>
  <dcterms:created xsi:type="dcterms:W3CDTF">2009-10-13T08:17:42Z</dcterms:created>
  <dcterms:modified xsi:type="dcterms:W3CDTF">2026-04-10T10:47:55Z</dcterms:modified>
</cp:coreProperties>
</file>