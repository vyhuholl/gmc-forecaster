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4С1\"/>
    </mc:Choice>
  </mc:AlternateContent>
  <xr:revisionPtr revIDLastSave="0" documentId="13_ncr:1_{910FA255-A40C-474F-9229-4302BE5151E0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N26" i="2"/>
  <c r="N28" i="2" s="1"/>
  <c r="M26" i="2"/>
  <c r="G25" i="2"/>
  <c r="Y24" i="2"/>
  <c r="W24" i="2"/>
  <c r="U24" i="2"/>
  <c r="H24" i="2"/>
  <c r="G24" i="2"/>
  <c r="G26" i="2" s="1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R20" i="3" s="1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X13" i="3" s="1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L83" i="4" s="1"/>
  <c r="K81" i="4"/>
  <c r="K83" i="4" s="1"/>
  <c r="J81" i="4"/>
  <c r="J83" i="4" s="1"/>
  <c r="I81" i="4"/>
  <c r="I83" i="4" s="1"/>
  <c r="H81" i="4"/>
  <c r="H83" i="4" s="1"/>
  <c r="G81" i="4"/>
  <c r="F81" i="4"/>
  <c r="M80" i="4"/>
  <c r="L80" i="4"/>
  <c r="K80" i="4"/>
  <c r="J80" i="4"/>
  <c r="I80" i="4"/>
  <c r="H80" i="4"/>
  <c r="G80" i="4"/>
  <c r="G83" i="4" s="1"/>
  <c r="F80" i="4"/>
  <c r="F83" i="4" s="1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7" i="4" s="1"/>
  <c r="G13" i="4"/>
  <c r="L10" i="4"/>
  <c r="H10" i="4"/>
  <c r="G10" i="4"/>
  <c r="H7" i="4"/>
  <c r="G7" i="4"/>
  <c r="H6" i="4"/>
  <c r="G6" i="4"/>
  <c r="I5" i="4"/>
  <c r="H5" i="4"/>
  <c r="G5" i="4"/>
  <c r="N1" i="4"/>
  <c r="L1" i="4"/>
  <c r="J1" i="4"/>
  <c r="L33" i="3"/>
  <c r="L35" i="3"/>
  <c r="L30" i="3"/>
  <c r="X27" i="3"/>
  <c r="R12" i="3"/>
  <c r="N43" i="2"/>
  <c r="N45" i="2" s="1"/>
  <c r="N29" i="2"/>
  <c r="O29" i="2"/>
  <c r="N44" i="2"/>
  <c r="O11" i="2"/>
  <c r="G11" i="2"/>
  <c r="G8" i="2"/>
  <c r="G9" i="2"/>
  <c r="M28" i="2"/>
  <c r="O28" i="2"/>
  <c r="N11" i="2" l="1"/>
  <c r="M83" i="4"/>
  <c r="R27" i="3"/>
  <c r="L27" i="3"/>
  <c r="F27" i="3" s="1"/>
  <c r="X31" i="3"/>
  <c r="X19" i="3"/>
  <c r="G15" i="2"/>
  <c r="H17" i="4"/>
  <c r="R21" i="3"/>
  <c r="R30" i="3" s="1"/>
  <c r="I17" i="4"/>
  <c r="I16" i="4"/>
  <c r="G16" i="4"/>
  <c r="H1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<sst xmlns="http://schemas.openxmlformats.org/spreadsheetml/2006/main" count="551" uniqueCount="343">
  <si>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</si>
  <si>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</si>
  <si>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</si>
  <si>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</si>
  <si>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</si>
  <si>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</si>
  <si>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</si>
  <si>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</si>
  <si>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</si>
  <si>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</si>
  <si>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</si>
  <si>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</si>
  <si>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</si>
  <si>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</si>
  <si>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</si>
  <si>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</si>
  <si>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</si>
  <si>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</si>
  <si>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</si>
  <si>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</si>
  <si>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</si>
  <si>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</si>
  <si>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</si>
  <si>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</si>
  <si>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</si>
  <si>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</si>
  <si>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</si>
  <si>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</si>
  <si>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</si>
  <si>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</si>
  <si>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</si>
  <si>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</si>
  <si>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</si>
  <si>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</si>
  <si>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</si>
  <si>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</si>
  <si>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</si>
  <si>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</si>
  <si>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</si>
  <si>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</si>
  <si>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</si>
  <si>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</si>
  <si>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</si>
  <si>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</si>
  <si>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</si>
  <si>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</si>
  <si>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</si>
  <si>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</si>
  <si>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</si>
  <si>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</si>
  <si>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</si>
  <si>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</si>
  <si>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</si>
  <si>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</si>
  <si>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</si>
  <si>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</si>
  <si>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</si>
  <si>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</si>
  <si>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</si>
  <si>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</si>
  <si>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</si>
  <si>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</si>
  <si>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</si>
  <si>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</si>
  <si>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</si>
  <si>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</si>
  <si>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</si>
  <si>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</si>
  <si>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</si>
  <si>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</si>
  <si>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</si>
  <si>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</si>
  <si>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</si>
  <si>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</si>
  <si>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</si>
  <si>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</si>
  <si>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</si>
  <si>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</si>
  <si>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</si>
  <si>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</si>
  <si>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</si>
  <si>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</si>
  <si>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</si>
  <si>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</si>
  <si>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</si>
  <si>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</si>
  <si>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</si>
  <si>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</si>
  <si>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</si>
  <si>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</si>
  <si>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</si>
  <si>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</si>
  <si>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</si>
  <si>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</si>
  <si>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</si>
  <si>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</si>
  <si>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</si>
  <si>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</si>
  <si>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</si>
  <si>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</si>
  <si>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</si>
  <si>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</si>
  <si>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</si>
  <si>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</si>
  <si>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</si>
  <si>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</si>
  <si>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</si>
  <si>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</si>
  <si>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</si>
  <si>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</si>
  <si>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</si>
  <si>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</si>
  <si>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</si>
  <si>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</si>
  <si>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</si>
  <si>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</si>
  <si>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</si>
  <si>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</si>
  <si>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</si>
  <si>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</si>
  <si>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</si>
  <si>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</si>
  <si>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</si>
  <si>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</si>
  <si>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</si>
  <si>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</si>
  <si>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</si>
  <si>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</si>
  <si>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</si>
  <si>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</si>
  <si>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</si>
  <si>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</si>
  <si>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</si>
  <si>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</si>
  <si>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</si>
  <si>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</si>
  <si>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</si>
  <si>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</si>
  <si>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</si>
  <si>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</si>
  <si>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</si>
  <si>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</si>
  <si>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</si>
  <si>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</si>
  <si>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</si>
  <si>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</si>
  <si>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</si>
  <si>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</si>
  <si>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</si>
  <si>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</si>
  <si>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</si>
  <si>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</si>
  <si>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</si>
  <si>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</si>
  <si>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</si>
  <si>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</si>
  <si>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</si>
  <si>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</si>
  <si>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</si>
  <si>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</si>
  <si>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</si>
  <si>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</si>
  <si>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</si>
  <si>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</si>
  <si>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</si>
  <si>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</si>
  <si>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</si>
  <si>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</si>
  <si>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</si>
  <si>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</si>
  <si>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</si>
  <si>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</si>
  <si>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</si>
  <si>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</si>
  <si>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</si>
  <si>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</si>
  <si>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</si>
  <si>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</si>
  <si>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</si>
  <si>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</si>
  <si>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</si>
  <si>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</si>
  <si>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</si>
  <si>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</si>
  <si>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</si>
  <si>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</si>
  <si>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</si>
  <si>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</si>
  <si>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</si>
  <si>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</si>
  <si>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</si>
  <si>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</si>
  <si>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</si>
  <si>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</si>
  <si>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</si>
  <si>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</si>
  <si>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</si>
  <si>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</si>
  <si>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</si>
  <si>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</si>
  <si>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</si>
  <si>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</si>
  <si>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</si>
  <si>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</si>
  <si>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</si>
  <si>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</si>
  <si>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</si>
  <si>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</si>
  <si>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</si>
  <si>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</si>
  <si>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</si>
  <si>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</si>
  <si>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</si>
  <si>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</si>
  <si>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</si>
  <si>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</si>
  <si>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</si>
  <si>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</si>
  <si>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</si>
  <si>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</si>
  <si>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</si>
  <si>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</si>
  <si>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</si>
  <si>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</si>
  <si>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</si>
  <si>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</si>
  <si>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</si>
  <si>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</si>
  <si>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</si>
  <si>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</si>
  <si>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</si>
  <si>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</si>
  <si>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</si>
  <si>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</si>
  <si>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</si>
  <si>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</si>
  <si>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</si>
  <si>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</si>
  <si>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</si>
  <si>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</si>
  <si>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</si>
  <si>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</si>
  <si>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</si>
  <si>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</si>
  <si>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</si>
  <si>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</si>
  <si>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</si>
  <si>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</si>
  <si>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</si>
  <si>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</si>
  <si>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</si>
  <si>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</si>
  <si>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</si>
  <si>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</si>
  <si>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</si>
  <si>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</si>
  <si>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</si>
  <si>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</si>
  <si>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</si>
  <si>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</si>
  <si>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</si>
  <si>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</si>
  <si>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</si>
  <si>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</si>
  <si>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</si>
  <si>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</si>
  <si>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</si>
  <si>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</si>
  <si>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</si>
  <si>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</si>
  <si>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</si>
  <si>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</si>
  <si>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</si>
  <si>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</si>
  <si>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</si>
  <si>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</si>
  <si>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</si>
  <si>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</si>
  <si>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</si>
  <si>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</si>
  <si>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</si>
  <si>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</si>
  <si>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</si>
  <si>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</si>
  <si>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</si>
  <si>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</si>
  <si>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</si>
  <si>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</si>
  <si>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</si>
  <si>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</si>
  <si>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</si>
  <si>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</si>
  <si>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</si>
  <si>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</si>
  <si>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>Minor</t>
  </si>
  <si>
    <t xml:space="preserve"> ****</t>
  </si>
  <si>
    <t xml:space="preserve"> Free info</t>
  </si>
  <si>
    <t>!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</si>
  <si>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</si>
  <si>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</si>
  <si>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</si>
  <si>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</si>
  <si>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</si>
  <si>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</si>
  <si>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</si>
  <si>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</si>
  <si>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</si>
  <si>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</si>
  <si>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</si>
  <si>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</si>
  <si>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</si>
  <si>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</si>
  <si>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</si>
  <si>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</si>
  <si>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</si>
  <si>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</si>
  <si>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</si>
  <si>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</si>
  <si>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</si>
  <si>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</si>
  <si>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</si>
  <si>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</si>
  <si>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</si>
  <si>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</si>
  <si>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</si>
  <si>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</si>
  <si>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</si>
  <si>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</si>
  <si>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</si>
  <si>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</si>
  <si>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</si>
  <si>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</si>
  <si>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</si>
  <si>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</t>
  </si>
  <si>
    <t xml:space="preserve">   4.45</t>
  </si>
  <si>
    <t xml:space="preserve">   5.18</t>
  </si>
  <si>
    <t xml:space="preserve">   4.43</t>
  </si>
  <si>
    <t>Major</t>
  </si>
  <si>
    <t xml:space="preserve"> 93.1</t>
  </si>
  <si>
    <t>*****</t>
  </si>
  <si>
    <t xml:space="preserve">В последние годы стоимость сырья возросла. Цены, указанные на будущее, могут </t>
  </si>
  <si>
    <t>стабилизироваться и не будут подвержены резким колебаниям.</t>
  </si>
  <si>
    <t xml:space="preserve">    Курс ерз. к доллару (ерз./$)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</si>
</sst>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2025</v>
      </c>
      <c r="Q9" s="7"/>
      <c r="R9" s="111" t="s">
        <v>11</v>
      </c>
      <c r="S9" s="14">
        <f>W!$A5</f>
        <v>3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311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310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300</v>
      </c>
      <c r="E14" s="40">
        <f>W!A7</f>
        <v>30</v>
      </c>
      <c r="F14" s="41">
        <f>W!A11</f>
        <v>30</v>
      </c>
      <c r="G14" s="42"/>
      <c r="H14" s="41">
        <f>W!A14</f>
        <v>30</v>
      </c>
      <c r="I14" s="43"/>
      <c r="J14" s="41">
        <f>W!A17</f>
        <v>30</v>
      </c>
      <c r="K14" s="43"/>
      <c r="L14" s="17"/>
      <c r="M14" s="17" t="s">
        <v>301</v>
      </c>
      <c r="N14" s="17"/>
      <c r="O14" s="26"/>
      <c r="P14" s="44">
        <f>W!A61</f>
        <v>2</v>
      </c>
      <c r="Q14" s="45">
        <f>W!B61</f>
        <v>0</v>
      </c>
      <c r="R14" s="36"/>
      <c r="S14" s="17"/>
      <c r="T14" s="44">
        <f>W!A62</f>
        <v>13</v>
      </c>
      <c r="U14" s="45">
        <f>W!B62</f>
        <v>0</v>
      </c>
      <c r="V14" s="17"/>
      <c r="W14" s="44">
        <f>W!A63</f>
        <v>13</v>
      </c>
      <c r="X14" s="46"/>
      <c r="Y14" s="22"/>
    </row>
    <row r="15" spans="2:25">
      <c r="B15" s="11"/>
      <c r="C15" s="17"/>
      <c r="D15" s="17" t="s">
        <v>325</v>
      </c>
      <c r="E15" s="47">
        <f>W!A8</f>
        <v>30</v>
      </c>
      <c r="F15" s="41">
        <f>W!A12</f>
        <v>30</v>
      </c>
      <c r="G15" s="48"/>
      <c r="H15" s="41">
        <f>W!A15</f>
        <v>30</v>
      </c>
      <c r="I15" s="49"/>
      <c r="J15" s="41">
        <f>W!A18</f>
        <v>30</v>
      </c>
      <c r="K15" s="49"/>
      <c r="L15" s="17"/>
      <c r="M15" s="17" t="s">
        <v>327</v>
      </c>
      <c r="N15" s="17"/>
      <c r="O15" s="26"/>
      <c r="P15" s="38">
        <f>W!A64</f>
        <v>3</v>
      </c>
      <c r="Q15" s="35">
        <f>W!B64</f>
        <v>0</v>
      </c>
      <c r="R15" s="36"/>
      <c r="S15" s="17"/>
      <c r="T15" s="50">
        <f>W!A65</f>
        <v>13</v>
      </c>
      <c r="U15" s="51">
        <f>W!B65</f>
        <v>0</v>
      </c>
      <c r="V15" s="17"/>
      <c r="W15" s="52">
        <f>W!A66</f>
        <v>13</v>
      </c>
      <c r="X15" s="51"/>
      <c r="Y15" s="22"/>
    </row>
    <row r="16" spans="2:25">
      <c r="B16" s="11"/>
      <c r="C16" s="17"/>
      <c r="D16" s="17" t="s">
        <v>19</v>
      </c>
      <c r="E16" s="53">
        <f>W!A9</f>
        <v>30</v>
      </c>
      <c r="F16" s="54">
        <f>W!A13</f>
        <v>30</v>
      </c>
      <c r="G16" s="55"/>
      <c r="H16" s="54">
        <f>W!A16</f>
        <v>30</v>
      </c>
      <c r="I16" s="35"/>
      <c r="J16" s="54">
        <f>W!A19</f>
        <v>30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11</v>
      </c>
      <c r="U16" s="56">
        <f>W!B68</f>
        <v>0</v>
      </c>
      <c r="V16" s="17"/>
      <c r="W16" s="57">
        <f>W!A69</f>
        <v>11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312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300</v>
      </c>
      <c r="E19" s="17"/>
      <c r="F19" s="44">
        <f>W!A21</f>
        <v>360</v>
      </c>
      <c r="G19" s="51">
        <f>W!B21</f>
        <v>0</v>
      </c>
      <c r="H19" s="60">
        <f>W!A24</f>
        <v>610</v>
      </c>
      <c r="I19" s="45">
        <f>W!B24</f>
        <v>0</v>
      </c>
      <c r="J19" s="60">
        <f>W!A27</f>
        <v>850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8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325</v>
      </c>
      <c r="E20" s="17"/>
      <c r="F20" s="50">
        <f>W!A22</f>
        <v>360</v>
      </c>
      <c r="G20" s="51">
        <f>W!B22</f>
        <v>0</v>
      </c>
      <c r="H20" s="41">
        <f>W!A25</f>
        <v>610</v>
      </c>
      <c r="I20" s="51">
        <f>W!B25</f>
        <v>0</v>
      </c>
      <c r="J20" s="41">
        <f>W!A28</f>
        <v>850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25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340</v>
      </c>
      <c r="G21" s="56">
        <f>W!B23</f>
        <v>0</v>
      </c>
      <c r="H21" s="54">
        <f>W!A26</f>
        <v>520</v>
      </c>
      <c r="I21" s="56">
        <f>W!B26</f>
        <v>0</v>
      </c>
      <c r="J21" s="54">
        <f>W!A29</f>
        <v>740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10</v>
      </c>
      <c r="Q21" s="67"/>
      <c r="R21" s="41"/>
      <c r="S21" s="97" t="s">
        <v>309</v>
      </c>
      <c r="T21" s="26"/>
      <c r="U21" s="26"/>
      <c r="V21" s="26"/>
      <c r="W21" s="38">
        <f>W!A78</f>
        <v>30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301</v>
      </c>
      <c r="D24" s="17"/>
      <c r="E24" s="17"/>
      <c r="F24" s="44">
        <f>W!A31</f>
        <v>700</v>
      </c>
      <c r="G24" s="45">
        <f>W!B31</f>
        <v>0</v>
      </c>
      <c r="H24" s="60">
        <f>W!A34</f>
        <v>400</v>
      </c>
      <c r="I24" s="45" t="str">
        <f>W!B34</f>
        <v>*</v>
      </c>
      <c r="J24" s="60">
        <f>W!A37</f>
        <v>220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0</v>
      </c>
      <c r="X24" s="64">
        <f>W!B82</f>
        <v>0</v>
      </c>
      <c r="Y24" s="22"/>
    </row>
    <row r="25" spans="2:25">
      <c r="B25" s="11"/>
      <c r="C25" s="17" t="s">
        <v>327</v>
      </c>
      <c r="D25" s="17"/>
      <c r="E25" s="17"/>
      <c r="F25" s="50">
        <f>W!A32</f>
        <v>925</v>
      </c>
      <c r="G25" s="51">
        <f>W!B32</f>
        <v>0</v>
      </c>
      <c r="H25" s="41">
        <f>W!A35</f>
        <v>475</v>
      </c>
      <c r="I25" s="51">
        <f>W!B35</f>
        <v>0</v>
      </c>
      <c r="J25" s="41">
        <f>W!A38</f>
        <v>250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10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1000</v>
      </c>
      <c r="G26" s="56">
        <f>W!B33</f>
        <v>0</v>
      </c>
      <c r="H26" s="54">
        <f>W!A36</f>
        <v>600</v>
      </c>
      <c r="I26" s="56">
        <f>W!B36</f>
        <v>0</v>
      </c>
      <c r="J26" s="38">
        <f>W!A39</f>
        <v>250</v>
      </c>
      <c r="K26" s="56">
        <f>W!B39</f>
        <v>0</v>
      </c>
      <c r="L26" s="17"/>
      <c r="M26" s="97" t="s">
        <v>313</v>
      </c>
      <c r="N26" s="26"/>
      <c r="O26" s="26"/>
      <c r="P26" s="38">
        <f>W!A85</f>
        <v>115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0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308</v>
      </c>
      <c r="D30" s="17"/>
      <c r="E30" s="41"/>
      <c r="F30" s="50">
        <f>W!A44</f>
        <v>30</v>
      </c>
      <c r="G30" s="49"/>
      <c r="H30" s="41">
        <f>W!A45</f>
        <v>30</v>
      </c>
      <c r="I30" s="49"/>
      <c r="J30" s="41">
        <f>W!A46</f>
        <v>30</v>
      </c>
      <c r="K30" s="22"/>
      <c r="L30" s="17"/>
      <c r="M30" s="97" t="s">
        <v>314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315</v>
      </c>
      <c r="T30" s="26"/>
      <c r="U30" s="26"/>
      <c r="V30" s="26"/>
      <c r="W30" s="50">
        <f>W!A94</f>
        <v>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2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331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2025</v>
      </c>
      <c r="V1" s="7"/>
      <c r="W1" s="111" t="s">
        <v>11</v>
      </c>
      <c r="X1" s="14">
        <f>W!A5</f>
        <v>3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2625</v>
      </c>
      <c r="V6" s="121"/>
      <c r="W6" s="41">
        <f>W!A109</f>
        <v>1474</v>
      </c>
      <c r="X6" s="26"/>
      <c r="Y6" s="50">
        <f>W!A110</f>
        <v>720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9000</v>
      </c>
      <c r="H7" s="22"/>
      <c r="J7" s="106"/>
      <c r="K7" s="17" t="s">
        <v>68</v>
      </c>
      <c r="N7" s="122">
        <f>W!A191</f>
        <v>26</v>
      </c>
      <c r="O7" s="122">
        <f>W!A192</f>
        <v>76</v>
      </c>
      <c r="P7" s="22"/>
      <c r="R7" s="106"/>
      <c r="S7" s="78" t="s">
        <v>69</v>
      </c>
      <c r="U7" s="50">
        <f>W!A111</f>
        <v>2719</v>
      </c>
      <c r="V7" s="121"/>
      <c r="W7" s="41">
        <f>W!A112</f>
        <v>1530</v>
      </c>
      <c r="X7" s="26"/>
      <c r="Y7" s="50">
        <f>W!A113</f>
        <v>747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1800</v>
      </c>
      <c r="H8" s="22"/>
      <c r="J8" s="106"/>
      <c r="K8" s="17" t="s">
        <v>71</v>
      </c>
      <c r="N8" s="122">
        <f>W!A193</f>
        <v>0</v>
      </c>
      <c r="O8" s="122">
        <f>W!A194</f>
        <v>12</v>
      </c>
      <c r="P8" s="22"/>
      <c r="R8" s="106"/>
      <c r="S8" s="78" t="s">
        <v>72</v>
      </c>
      <c r="U8" s="50">
        <f>W!A114</f>
        <v>94</v>
      </c>
      <c r="V8" s="121"/>
      <c r="W8" s="41">
        <f>W!A115</f>
        <v>55</v>
      </c>
      <c r="X8" s="26"/>
      <c r="Y8" s="50">
        <f>W!A116</f>
        <v>27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6300</v>
      </c>
      <c r="H9" s="22"/>
      <c r="J9" s="106"/>
      <c r="K9" s="17" t="s">
        <v>74</v>
      </c>
      <c r="N9" s="122">
        <f>W!A82</f>
        <v>0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1</v>
      </c>
      <c r="X9" s="29" t="str">
        <f>W!B118</f>
        <v>!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900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225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12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275</v>
      </c>
      <c r="H12" s="22"/>
      <c r="J12" s="106"/>
      <c r="K12" s="17" t="s">
        <v>82</v>
      </c>
      <c r="N12" s="124">
        <f>W!A197</f>
        <v>26</v>
      </c>
      <c r="O12" s="124">
        <f>W!A198</f>
        <v>76</v>
      </c>
      <c r="P12" s="22"/>
      <c r="R12" s="106"/>
      <c r="S12" s="26" t="s">
        <v>302</v>
      </c>
      <c r="U12" s="50">
        <f>W!A121</f>
        <v>700</v>
      </c>
      <c r="V12" s="121"/>
      <c r="W12" s="50">
        <f>W!A124</f>
        <v>399</v>
      </c>
      <c r="X12" s="26"/>
      <c r="Y12" s="50">
        <f>W!A127</f>
        <v>220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260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329</v>
      </c>
      <c r="U13" s="50">
        <f>W!A122</f>
        <v>925</v>
      </c>
      <c r="V13" s="121"/>
      <c r="W13" s="50">
        <f>W!A125</f>
        <v>475</v>
      </c>
      <c r="X13" s="26"/>
      <c r="Y13" s="50">
        <f>W!A128</f>
        <v>250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55</v>
      </c>
      <c r="H14" s="22"/>
      <c r="J14" s="106"/>
      <c r="O14" s="58"/>
      <c r="P14" s="22"/>
      <c r="R14" s="106"/>
      <c r="S14" s="26" t="s">
        <v>85</v>
      </c>
      <c r="U14" s="50">
        <f>W!A123</f>
        <v>1000</v>
      </c>
      <c r="V14" s="121"/>
      <c r="W14" s="50">
        <f>W!A126</f>
        <v>600</v>
      </c>
      <c r="X14" s="26"/>
      <c r="Y14" s="50">
        <f>W!A129</f>
        <v>250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85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14976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172</v>
      </c>
      <c r="P17" s="123">
        <f>W!B307</f>
        <v>0</v>
      </c>
      <c r="R17" s="106"/>
      <c r="S17" s="17" t="s">
        <v>303</v>
      </c>
      <c r="U17" s="50">
        <f>W!A131</f>
        <v>745</v>
      </c>
      <c r="V17" s="121"/>
      <c r="W17" s="50">
        <f>W!A134</f>
        <v>351</v>
      </c>
      <c r="X17" s="26"/>
      <c r="Y17" s="50">
        <f>W!A137</f>
        <v>219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13464</v>
      </c>
      <c r="P18" s="22"/>
      <c r="R18" s="106"/>
      <c r="S18" s="85" t="s">
        <v>326</v>
      </c>
      <c r="U18" s="50">
        <f>W!A132</f>
        <v>910</v>
      </c>
      <c r="V18" s="121"/>
      <c r="W18" s="50">
        <f>W!A135</f>
        <v>430</v>
      </c>
      <c r="X18" s="26"/>
      <c r="Y18" s="50">
        <f>W!A138</f>
        <v>247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11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1005</v>
      </c>
      <c r="V19" s="121"/>
      <c r="W19" s="50">
        <f>W!A136</f>
        <v>632</v>
      </c>
      <c r="X19" s="26"/>
      <c r="Y19" s="50">
        <f>W!A139</f>
        <v>339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11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303</v>
      </c>
      <c r="U22" s="50">
        <f>W!A141</f>
        <v>739</v>
      </c>
      <c r="V22" s="121"/>
      <c r="W22" s="50">
        <f>W!A144</f>
        <v>377</v>
      </c>
      <c r="X22" s="26"/>
      <c r="Y22" s="50">
        <f>W!A147</f>
        <v>219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11748</v>
      </c>
      <c r="H23" s="49"/>
      <c r="R23" s="106"/>
      <c r="S23" s="85" t="s">
        <v>328</v>
      </c>
      <c r="U23" s="50">
        <f>W!A142</f>
        <v>925</v>
      </c>
      <c r="V23" s="121"/>
      <c r="W23" s="50">
        <f>W!A145</f>
        <v>464</v>
      </c>
      <c r="X23" s="26"/>
      <c r="Y23" s="50">
        <f>W!A148</f>
        <v>247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37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1000</v>
      </c>
      <c r="V24" s="121"/>
      <c r="W24" s="50">
        <f>W!A146</f>
        <v>632</v>
      </c>
      <c r="X24" s="26"/>
      <c r="Y24" s="50">
        <f>W!A149</f>
        <v>337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6576</v>
      </c>
      <c r="H25" s="22"/>
      <c r="J25" s="106"/>
      <c r="K25" s="21" t="s">
        <v>106</v>
      </c>
      <c r="L25" s="20"/>
      <c r="M25" s="128" t="s">
        <v>300</v>
      </c>
      <c r="N25" s="129" t="s">
        <v>325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238</v>
      </c>
      <c r="H26" s="22"/>
      <c r="J26" s="106"/>
      <c r="K26" s="97" t="s">
        <v>108</v>
      </c>
      <c r="M26" s="122">
        <f>W!A321</f>
        <v>2</v>
      </c>
      <c r="N26" s="122">
        <f>W!A322</f>
        <v>3</v>
      </c>
      <c r="O26" s="41">
        <f>IF(W!A327&gt;0,1,0)</f>
        <v>1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93.1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303</v>
      </c>
      <c r="U27" s="50">
        <f>W!A151</f>
        <v>3</v>
      </c>
      <c r="V27" s="121"/>
      <c r="W27" s="50">
        <f>W!A154</f>
        <v>0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326</v>
      </c>
      <c r="U28" s="50">
        <f>W!A152</f>
        <v>0</v>
      </c>
      <c r="V28" s="121"/>
      <c r="W28" s="50">
        <f>W!A155</f>
        <v>0</v>
      </c>
      <c r="X28" s="26"/>
      <c r="Y28" s="50">
        <f>W!A158</f>
        <v>0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11138</v>
      </c>
      <c r="H30" s="22"/>
      <c r="J30" s="106"/>
      <c r="K30" s="97" t="s">
        <v>116</v>
      </c>
      <c r="M30" s="124">
        <f>W!A325</f>
        <v>2</v>
      </c>
      <c r="N30" s="124">
        <f>W!A326</f>
        <v>3</v>
      </c>
      <c r="O30" s="38">
        <f>IF(W!A328&gt;0,1,0)</f>
        <v>1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8000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303</v>
      </c>
      <c r="U31" s="50">
        <f>W!A161</f>
        <v>0</v>
      </c>
      <c r="V31" s="121"/>
      <c r="W31" s="50">
        <f>W!A164</f>
        <v>22</v>
      </c>
      <c r="X31" s="26"/>
      <c r="Y31" s="50">
        <f>W!A167</f>
        <v>1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326</v>
      </c>
      <c r="U32" s="50">
        <f>W!A162</f>
        <v>0</v>
      </c>
      <c r="V32" s="121"/>
      <c r="W32" s="50">
        <f>W!A165</f>
        <v>11</v>
      </c>
      <c r="X32" s="26"/>
      <c r="Y32" s="50">
        <f>W!A168</f>
        <v>27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0</v>
      </c>
      <c r="V33" s="121"/>
      <c r="W33" s="50">
        <f>W!A166</f>
        <v>37</v>
      </c>
      <c r="X33" s="26"/>
      <c r="Y33" s="50">
        <f>W!A169</f>
        <v>0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8020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11118</v>
      </c>
      <c r="H35" s="22"/>
      <c r="J35" s="106"/>
      <c r="K35" s="20" t="s">
        <v>123</v>
      </c>
      <c r="L35" s="20"/>
      <c r="M35" s="128" t="s">
        <v>300</v>
      </c>
      <c r="N35" s="134" t="s">
        <v>325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1434</v>
      </c>
      <c r="N36" s="50">
        <f>W!A297</f>
        <v>500</v>
      </c>
      <c r="O36" s="122">
        <f>W!A299</f>
        <v>300</v>
      </c>
      <c r="P36" s="22"/>
      <c r="R36" s="106"/>
      <c r="S36" s="20" t="s">
        <v>126</v>
      </c>
      <c r="T36" s="86"/>
      <c r="U36" s="41">
        <f>W!A171</f>
        <v>106</v>
      </c>
      <c r="V36" s="123">
        <f>W!B171</f>
        <v>0</v>
      </c>
      <c r="W36" s="41">
        <f>W!A172</f>
        <v>58</v>
      </c>
      <c r="X36" s="123">
        <f>W!B172</f>
        <v>0</v>
      </c>
      <c r="Y36" s="41">
        <f>W!A173</f>
        <v>36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5</v>
      </c>
      <c r="N37" s="124">
        <f>W!A298</f>
        <v>6</v>
      </c>
      <c r="O37" s="124">
        <f>W!A300</f>
        <v>7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Major</v>
      </c>
      <c r="V39" s="121"/>
      <c r="W39" s="136" t="str">
        <f>W!A178</f>
        <v>Major</v>
      </c>
      <c r="X39" s="26"/>
      <c r="Y39" s="136" t="str">
        <f>W!A179</f>
        <v>Minor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11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84980</v>
      </c>
      <c r="H43" s="22"/>
      <c r="J43" s="106"/>
      <c r="K43" s="78" t="s">
        <v>140</v>
      </c>
      <c r="N43" s="137">
        <f>0.00019*50*G10</f>
        <v>8.5499999999999989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8</v>
      </c>
      <c r="H44" s="22"/>
      <c r="J44" s="106"/>
      <c r="K44" s="78" t="s">
        <v>143</v>
      </c>
      <c r="N44" s="138">
        <f>0.00052*(6*G25+O18)</f>
        <v>27.518399999999996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88</v>
      </c>
      <c r="H45" s="22"/>
      <c r="J45" s="106"/>
      <c r="K45" s="78" t="s">
        <v>146</v>
      </c>
      <c r="N45" s="137">
        <f>N43+N44</f>
        <v>36.068399999999997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331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2025</v>
      </c>
      <c r="W1" s="111" t="s">
        <v>11</v>
      </c>
      <c r="X1" s="14">
        <f>W!A5</f>
        <v>3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316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360000</v>
      </c>
      <c r="G8" s="147"/>
      <c r="I8" s="78" t="s">
        <v>156</v>
      </c>
      <c r="L8" s="149">
        <f>W!A241</f>
        <v>2437570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111981</v>
      </c>
      <c r="G9" s="147"/>
      <c r="L9" s="149"/>
      <c r="M9" s="147"/>
      <c r="O9" s="78" t="s">
        <v>159</v>
      </c>
      <c r="R9" s="78">
        <f>W!A261</f>
        <v>450000</v>
      </c>
      <c r="S9" s="147"/>
      <c r="U9" s="78" t="s">
        <v>160</v>
      </c>
      <c r="X9" s="149">
        <f>W!A221</f>
        <v>2320324</v>
      </c>
      <c r="Y9" s="147"/>
    </row>
    <row r="10" spans="2:25">
      <c r="B10" s="145"/>
      <c r="C10" s="78" t="s">
        <v>161</v>
      </c>
      <c r="F10" s="149">
        <f>W!A203</f>
        <v>38540</v>
      </c>
      <c r="G10" s="147"/>
      <c r="I10" s="78" t="s">
        <v>162</v>
      </c>
      <c r="L10" s="149">
        <f>W!A242</f>
        <v>404043</v>
      </c>
      <c r="M10" s="147"/>
      <c r="O10" s="78" t="s">
        <v>163</v>
      </c>
      <c r="R10" s="78">
        <f>W!A262</f>
        <v>450000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259277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2352696</v>
      </c>
      <c r="S11" s="147"/>
      <c r="U11" s="78" t="s">
        <v>168</v>
      </c>
      <c r="X11" s="149">
        <f>W!A223</f>
        <v>2139546</v>
      </c>
      <c r="Y11" s="147"/>
    </row>
    <row r="12" spans="2:25">
      <c r="B12" s="145"/>
      <c r="C12" s="78" t="s">
        <v>169</v>
      </c>
      <c r="F12" s="149">
        <f>W!A205</f>
        <v>24375</v>
      </c>
      <c r="G12" s="147"/>
      <c r="I12" s="78" t="s">
        <v>170</v>
      </c>
      <c r="L12" s="149">
        <f>W!A244</f>
        <v>344096</v>
      </c>
      <c r="M12" s="147"/>
      <c r="O12" s="78" t="s">
        <v>171</v>
      </c>
      <c r="R12" s="149">
        <f>SUM(R9:R11)</f>
        <v>3252696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24060</v>
      </c>
      <c r="G13" s="147"/>
      <c r="I13" s="78" t="s">
        <v>174</v>
      </c>
      <c r="L13" s="149">
        <f>W!A245</f>
        <v>120928</v>
      </c>
      <c r="M13" s="147"/>
      <c r="S13" s="147"/>
      <c r="U13" s="78" t="s">
        <v>175</v>
      </c>
      <c r="X13" s="78">
        <f>X9+X10-X11-X12</f>
        <v>180778</v>
      </c>
      <c r="Y13" s="147"/>
    </row>
    <row r="14" spans="2:25">
      <c r="B14" s="145"/>
      <c r="C14" s="78" t="s">
        <v>176</v>
      </c>
      <c r="F14" s="149">
        <f>W!A207</f>
        <v>90000</v>
      </c>
      <c r="G14" s="147"/>
      <c r="I14" s="78" t="s">
        <v>177</v>
      </c>
      <c r="L14" s="149">
        <f>W!A246</f>
        <v>274560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30000</v>
      </c>
      <c r="G15" s="147"/>
      <c r="I15" s="78" t="s">
        <v>180</v>
      </c>
      <c r="L15" s="149">
        <f>W!A247</f>
        <v>149160</v>
      </c>
      <c r="M15" s="147"/>
      <c r="O15" s="78" t="s">
        <v>181</v>
      </c>
      <c r="R15" s="149">
        <f>W!A265</f>
        <v>18102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12000</v>
      </c>
      <c r="G16" s="147"/>
      <c r="I16" s="78" t="s">
        <v>184</v>
      </c>
      <c r="L16" s="149">
        <f>W!A248</f>
        <v>4996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0</v>
      </c>
      <c r="Y16" s="147"/>
    </row>
    <row r="17" spans="2:25">
      <c r="B17" s="145"/>
      <c r="C17" s="78" t="s">
        <v>187</v>
      </c>
      <c r="F17" s="149">
        <f>W!A210</f>
        <v>23375</v>
      </c>
      <c r="G17" s="147"/>
      <c r="I17" s="78" t="s">
        <v>188</v>
      </c>
      <c r="L17" s="149">
        <f>W!A249</f>
        <v>73350</v>
      </c>
      <c r="M17" s="147"/>
      <c r="O17" s="78" t="s">
        <v>189</v>
      </c>
      <c r="R17" s="149">
        <f>W!A267</f>
        <v>359114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8075</v>
      </c>
      <c r="G18" s="147"/>
      <c r="I18" s="97" t="s">
        <v>192</v>
      </c>
      <c r="L18" s="151">
        <f>W!A250</f>
        <v>377216</v>
      </c>
      <c r="M18" s="147"/>
      <c r="O18" s="78" t="s">
        <v>193</v>
      </c>
      <c r="R18" s="149">
        <f>W!A268</f>
        <v>1391219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993917</v>
      </c>
      <c r="M19" s="147"/>
      <c r="O19" s="78" t="s">
        <v>197</v>
      </c>
      <c r="R19" s="151">
        <f>W!A269</f>
        <v>447182</v>
      </c>
      <c r="S19" s="147"/>
      <c r="U19" s="78" t="s">
        <v>198</v>
      </c>
      <c r="X19" s="78">
        <f>X16+X17-X18</f>
        <v>0</v>
      </c>
      <c r="Y19" s="147"/>
    </row>
    <row r="20" spans="2:25">
      <c r="B20" s="145"/>
      <c r="C20" s="78" t="s">
        <v>199</v>
      </c>
      <c r="F20" s="149">
        <f>W!A213</f>
        <v>4940</v>
      </c>
      <c r="G20" s="147"/>
      <c r="I20" s="78" t="s">
        <v>200</v>
      </c>
      <c r="L20" s="149">
        <f>W!A252</f>
        <v>1443653</v>
      </c>
      <c r="M20" s="147"/>
      <c r="O20" s="78" t="s">
        <v>201</v>
      </c>
      <c r="R20" s="153">
        <f>SUM(R15:R19)</f>
        <v>2215617</v>
      </c>
      <c r="S20" s="147"/>
      <c r="Y20" s="147"/>
    </row>
    <row r="21" spans="2:25">
      <c r="B21" s="145"/>
      <c r="C21" s="78" t="s">
        <v>202</v>
      </c>
      <c r="F21" s="149">
        <f>W!A214</f>
        <v>13009</v>
      </c>
      <c r="G21" s="147"/>
      <c r="I21" s="78" t="s">
        <v>203</v>
      </c>
      <c r="L21" s="149">
        <f>W!A217</f>
        <v>1141574</v>
      </c>
      <c r="M21" s="147"/>
      <c r="O21" s="78" t="s">
        <v>204</v>
      </c>
      <c r="R21" s="149">
        <f>R12+R20</f>
        <v>5468313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115000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19442</v>
      </c>
      <c r="G23" s="147"/>
      <c r="I23" s="78" t="s">
        <v>209</v>
      </c>
      <c r="L23" s="150">
        <f>W!A254</f>
        <v>60324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1141574</v>
      </c>
      <c r="G24" s="147"/>
      <c r="I24" s="78" t="s">
        <v>213</v>
      </c>
      <c r="L24" s="149">
        <f>L20-L21+L22-L23</f>
        <v>241755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0</v>
      </c>
      <c r="M25" s="147"/>
      <c r="O25" s="95" t="s">
        <v>216</v>
      </c>
      <c r="R25" s="149">
        <f>W!A272</f>
        <v>690908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0</v>
      </c>
      <c r="M26" s="147"/>
      <c r="O26" s="78" t="s">
        <v>220</v>
      </c>
      <c r="R26" s="151">
        <f>W!A273</f>
        <v>0</v>
      </c>
      <c r="S26" s="147"/>
      <c r="U26" s="78" t="s">
        <v>219</v>
      </c>
      <c r="X26" s="151">
        <f>W!A232</f>
        <v>0</v>
      </c>
      <c r="Y26" s="147"/>
    </row>
    <row r="27" spans="2:25">
      <c r="B27" s="145"/>
      <c r="C27" s="78" t="s">
        <v>221</v>
      </c>
      <c r="F27" s="78">
        <f>L27</f>
        <v>241755</v>
      </c>
      <c r="G27" s="147"/>
      <c r="I27" s="78" t="s">
        <v>222</v>
      </c>
      <c r="L27" s="78">
        <f>L24+L25-L26</f>
        <v>241755</v>
      </c>
      <c r="M27" s="147"/>
      <c r="O27" s="97" t="s">
        <v>223</v>
      </c>
      <c r="R27" s="149">
        <f>SUM(R24:R26)</f>
        <v>690908</v>
      </c>
      <c r="S27" s="147"/>
      <c r="U27" s="78" t="s">
        <v>224</v>
      </c>
      <c r="X27" s="78">
        <f>X22-X23-X24+X25-X26</f>
        <v>0</v>
      </c>
      <c r="Y27" s="147"/>
    </row>
    <row r="28" spans="2:25">
      <c r="B28" s="145"/>
      <c r="C28" s="78" t="s">
        <v>225</v>
      </c>
      <c r="F28" s="151">
        <f>W!A240</f>
        <v>116886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358641</v>
      </c>
      <c r="G29" s="147"/>
      <c r="I29" s="78" t="s">
        <v>229</v>
      </c>
      <c r="L29" s="149">
        <f>W!A256</f>
        <v>241755</v>
      </c>
      <c r="M29" s="147"/>
      <c r="S29" s="147"/>
      <c r="U29" s="78" t="s">
        <v>230</v>
      </c>
      <c r="X29" s="78">
        <f>W!A233</f>
        <v>180778</v>
      </c>
      <c r="Y29" s="147"/>
    </row>
    <row r="30" spans="2:25">
      <c r="B30" s="145"/>
      <c r="G30" s="147"/>
      <c r="I30" s="78" t="s">
        <v>231</v>
      </c>
      <c r="L30" s="154">
        <f>IF(R33&gt;0,100*L29/R33,0)</f>
        <v>6.0438749999999999</v>
      </c>
      <c r="M30" s="147"/>
      <c r="O30" s="78" t="s">
        <v>232</v>
      </c>
      <c r="R30" s="149">
        <f>R21-R27-R28</f>
        <v>4777405</v>
      </c>
      <c r="S30" s="147"/>
      <c r="U30" s="78" t="s">
        <v>233</v>
      </c>
      <c r="X30" s="150">
        <f>W!A234</f>
        <v>266404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447182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0</v>
      </c>
      <c r="Y32" s="147" t="s">
        <v>2</v>
      </c>
    </row>
    <row r="33" spans="2:25">
      <c r="B33" s="145"/>
      <c r="C33" s="78" t="s">
        <v>238</v>
      </c>
      <c r="F33" s="149">
        <f>W!A219</f>
        <v>157</v>
      </c>
      <c r="G33" s="147"/>
      <c r="I33" s="78" t="s">
        <v>239</v>
      </c>
      <c r="L33" s="149">
        <f>L29-L32</f>
        <v>241755</v>
      </c>
      <c r="M33" s="147"/>
      <c r="O33" s="97" t="s">
        <v>240</v>
      </c>
      <c r="R33" s="149">
        <f>W!A275</f>
        <v>4000000</v>
      </c>
      <c r="S33" s="147"/>
      <c r="Y33" s="147"/>
    </row>
    <row r="34" spans="2:25">
      <c r="B34" s="145"/>
      <c r="C34" s="78" t="s">
        <v>241</v>
      </c>
      <c r="F34" s="149">
        <f>W!A220</f>
        <v>7434</v>
      </c>
      <c r="G34" s="147"/>
      <c r="I34" s="78" t="s">
        <v>242</v>
      </c>
      <c r="L34" s="151">
        <f>W!A260</f>
        <v>535650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1200000</v>
      </c>
      <c r="Y34" s="147"/>
    </row>
    <row r="35" spans="2:25">
      <c r="B35" s="145"/>
      <c r="G35" s="147"/>
      <c r="I35" s="78" t="s">
        <v>245</v>
      </c>
      <c r="L35" s="78">
        <f>L33+L34</f>
        <v>777405</v>
      </c>
      <c r="M35" s="147"/>
      <c r="O35" s="78" t="s">
        <v>246</v>
      </c>
      <c r="R35" s="151">
        <f>R36-R33-R34</f>
        <v>777405</v>
      </c>
      <c r="S35" s="147"/>
      <c r="U35" s="78" t="s">
        <v>247</v>
      </c>
      <c r="X35" s="78">
        <f>W!A239</f>
        <v>1385000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4777405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331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2025</v>
      </c>
      <c r="M1" s="139" t="s">
        <v>11</v>
      </c>
      <c r="N1" s="115">
        <f>W!$A5</f>
        <v>3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300</v>
      </c>
      <c r="H4" s="32" t="s">
        <v>325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3930</v>
      </c>
      <c r="H5" s="32">
        <f>W!A506</f>
        <v>4755</v>
      </c>
      <c r="I5" s="32">
        <f>W!A504</f>
        <v>5390</v>
      </c>
      <c r="K5" s="26"/>
      <c r="N5" s="22"/>
    </row>
    <row r="6" spans="2:14">
      <c r="B6" s="106"/>
      <c r="C6" s="85" t="s">
        <v>253</v>
      </c>
      <c r="G6" s="158">
        <f>W!A507/10</f>
        <v>6</v>
      </c>
      <c r="H6" s="158">
        <f>W!A508/10</f>
        <v>9.3000000000000007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1570</v>
      </c>
      <c r="H7" s="32">
        <f>W!A510</f>
        <v>-933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1.5</v>
      </c>
      <c r="H10" s="158">
        <f>W!A502/10</f>
        <v>1</v>
      </c>
      <c r="I10" s="26" t="s">
        <v>342</v>
      </c>
      <c r="J10" s="26"/>
      <c r="K10" s="41"/>
      <c r="L10" s="159">
        <f>W!A511/100</f>
        <v>1.1599999999999999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323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324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103</v>
      </c>
      <c r="H16" s="160">
        <f>INT(L10*2*G20/1000) + 75</f>
        <v>161</v>
      </c>
      <c r="I16" s="160">
        <f>INT(L10*3*G20/1000) + 120</f>
        <v>249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124</v>
      </c>
      <c r="H17" s="160">
        <f>INT(L10*1.5*2*G20/1000) + 75</f>
        <v>204</v>
      </c>
      <c r="I17" s="160">
        <f>INT(L10*1.5*3*G20/1000) + 120</f>
        <v>314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330</v>
      </c>
      <c r="G20" s="108">
        <f>W!A515</f>
        <v>37222</v>
      </c>
      <c r="H20" s="108">
        <f>W!A516</f>
        <v>33240</v>
      </c>
      <c r="I20" s="108">
        <f>W!A517</f>
        <v>30939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 xml:space="preserve">В последние годы стоимость сырья возросла. Цены, указанные на будущее, могут </v>
      </c>
      <c r="N23" s="22"/>
    </row>
    <row r="24" spans="2:14" ht="12">
      <c r="B24" s="106"/>
      <c r="C24" s="20"/>
      <c r="F24" s="65" t="str">
        <f>W!A682</f>
        <v>стабилизироваться и не будут подвержены резким колебаниям.</v>
      </c>
      <c r="N24" s="22"/>
    </row>
    <row r="25" spans="2:14" ht="12">
      <c r="B25" s="106"/>
      <c r="C25" s="20"/>
      <c r="F25" s="65" t="str">
        <f>W!A683</f>
        <v xml:space="preserve"> </v>
      </c>
      <c r="N25" s="22"/>
    </row>
    <row r="26" spans="2:14">
      <c r="B26" s="106"/>
      <c r="C26" s="65"/>
      <c r="F26" s="65" t="str">
        <f>W!A684</f>
        <v xml:space="preserve"> 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321</v>
      </c>
      <c r="F35" s="41">
        <f>W!A522/100</f>
        <v>129.24</v>
      </c>
      <c r="G35" s="41">
        <f>W!A542/100</f>
        <v>129.24</v>
      </c>
      <c r="H35" s="41">
        <f>W!A562/100</f>
        <v>129.24</v>
      </c>
      <c r="I35" s="41">
        <f>W!A582/100</f>
        <v>129.24</v>
      </c>
      <c r="J35" s="41">
        <f>W!A602/100</f>
        <v>129.24</v>
      </c>
      <c r="K35" s="41">
        <f>W!A622/100</f>
        <v>129.24</v>
      </c>
      <c r="L35" s="41">
        <f>W!A642/100</f>
        <v>129.24</v>
      </c>
      <c r="M35" s="41">
        <f>W!A662/100</f>
        <v>129.24</v>
      </c>
      <c r="N35" s="48"/>
    </row>
    <row r="36" spans="2:17">
      <c r="B36" s="106"/>
      <c r="C36" s="17" t="s">
        <v>317</v>
      </c>
      <c r="F36" s="41">
        <f>W!A523</f>
        <v>5169600</v>
      </c>
      <c r="G36" s="41">
        <f>W!A543</f>
        <v>5169600</v>
      </c>
      <c r="H36" s="41">
        <f>W!A563</f>
        <v>5169600</v>
      </c>
      <c r="I36" s="41">
        <f>W!A583</f>
        <v>5169600</v>
      </c>
      <c r="J36" s="41">
        <f>W!A603</f>
        <v>5169600</v>
      </c>
      <c r="K36" s="41">
        <f>W!A623</f>
        <v>5169600</v>
      </c>
      <c r="L36" s="41">
        <f>W!A643</f>
        <v>5169600</v>
      </c>
      <c r="M36" s="41">
        <f>W!A663</f>
        <v>5169600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5332620</v>
      </c>
      <c r="G39" s="41">
        <f>W!A545</f>
        <v>5332620</v>
      </c>
      <c r="H39" s="41">
        <f>W!A565</f>
        <v>5332620</v>
      </c>
      <c r="I39" s="41">
        <f>W!A585</f>
        <v>5332620</v>
      </c>
      <c r="J39" s="41">
        <f>W!A605</f>
        <v>5332620</v>
      </c>
      <c r="K39" s="41">
        <f>W!A625</f>
        <v>5332620</v>
      </c>
      <c r="L39" s="41">
        <f>W!A645</f>
        <v>5332620</v>
      </c>
      <c r="M39" s="41">
        <f>W!A665</f>
        <v>5332620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318</v>
      </c>
      <c r="F42" s="41"/>
      <c r="G42" s="41"/>
      <c r="H42" s="41"/>
      <c r="I42" s="41"/>
      <c r="N42" s="48"/>
    </row>
    <row r="43" spans="2:17">
      <c r="B43" s="106"/>
      <c r="C43" s="17" t="s">
        <v>304</v>
      </c>
      <c r="F43" s="41">
        <f>W!A526</f>
        <v>360</v>
      </c>
      <c r="G43" s="41">
        <f>W!A546</f>
        <v>360</v>
      </c>
      <c r="H43" s="41">
        <f>W!A566</f>
        <v>360</v>
      </c>
      <c r="I43" s="41">
        <f>W!A586</f>
        <v>360</v>
      </c>
      <c r="J43" s="41">
        <f>W!A606</f>
        <v>360</v>
      </c>
      <c r="K43" s="41">
        <f>W!A626</f>
        <v>360</v>
      </c>
      <c r="L43" s="41">
        <f>W!A646</f>
        <v>360</v>
      </c>
      <c r="M43" s="41">
        <f>W!A666</f>
        <v>360</v>
      </c>
      <c r="N43" s="48"/>
    </row>
    <row r="44" spans="2:17">
      <c r="B44" s="106"/>
      <c r="C44" s="17" t="s">
        <v>3</v>
      </c>
      <c r="D44" s="26" t="s">
        <v>326</v>
      </c>
      <c r="F44" s="41">
        <f>W!A527</f>
        <v>360</v>
      </c>
      <c r="G44" s="41">
        <f>W!A547</f>
        <v>360</v>
      </c>
      <c r="H44" s="41">
        <f>W!A567</f>
        <v>360</v>
      </c>
      <c r="I44" s="41">
        <f>W!A587</f>
        <v>360</v>
      </c>
      <c r="J44" s="41">
        <f>W!A607</f>
        <v>360</v>
      </c>
      <c r="K44" s="41">
        <f>W!A627</f>
        <v>360</v>
      </c>
      <c r="L44" s="41">
        <f>W!A647</f>
        <v>360</v>
      </c>
      <c r="M44" s="41">
        <f>W!A667</f>
        <v>360</v>
      </c>
      <c r="N44" s="48"/>
    </row>
    <row r="45" spans="2:17">
      <c r="B45" s="106"/>
      <c r="D45" s="17" t="s">
        <v>98</v>
      </c>
      <c r="F45" s="41">
        <f>W!A528</f>
        <v>340</v>
      </c>
      <c r="G45" s="41">
        <f>W!A548</f>
        <v>340</v>
      </c>
      <c r="H45" s="41">
        <f>W!A568</f>
        <v>340</v>
      </c>
      <c r="I45" s="41">
        <f>W!A588</f>
        <v>340</v>
      </c>
      <c r="J45" s="41">
        <f>W!A608</f>
        <v>340</v>
      </c>
      <c r="K45" s="41">
        <f>W!A628</f>
        <v>340</v>
      </c>
      <c r="L45" s="41">
        <f>W!A648</f>
        <v>340</v>
      </c>
      <c r="M45" s="41">
        <f>W!A668</f>
        <v>340</v>
      </c>
      <c r="N45" s="48"/>
    </row>
    <row r="46" spans="2:17">
      <c r="B46" s="106"/>
      <c r="C46" s="17" t="s">
        <v>305</v>
      </c>
      <c r="F46" s="41">
        <f>W!A529</f>
        <v>610</v>
      </c>
      <c r="G46" s="41">
        <f>W!A549</f>
        <v>610</v>
      </c>
      <c r="H46" s="41">
        <f>W!A569</f>
        <v>610</v>
      </c>
      <c r="I46" s="41">
        <f>W!A589</f>
        <v>610</v>
      </c>
      <c r="J46" s="41">
        <f>W!A609</f>
        <v>610</v>
      </c>
      <c r="K46" s="41">
        <f>W!A629</f>
        <v>610</v>
      </c>
      <c r="L46" s="41">
        <f>W!A649</f>
        <v>610</v>
      </c>
      <c r="M46" s="41">
        <f>W!A669</f>
        <v>610</v>
      </c>
      <c r="N46" s="48"/>
    </row>
    <row r="47" spans="2:17">
      <c r="B47" s="106"/>
      <c r="C47" s="17" t="s">
        <v>3</v>
      </c>
      <c r="D47" s="26" t="s">
        <v>326</v>
      </c>
      <c r="F47" s="41">
        <f>W!A530</f>
        <v>610</v>
      </c>
      <c r="G47" s="41">
        <f>W!A550</f>
        <v>610</v>
      </c>
      <c r="H47" s="41">
        <f>W!A570</f>
        <v>610</v>
      </c>
      <c r="I47" s="41">
        <f>W!A590</f>
        <v>610</v>
      </c>
      <c r="J47" s="41">
        <f>W!A610</f>
        <v>610</v>
      </c>
      <c r="K47" s="41">
        <f>W!A630</f>
        <v>610</v>
      </c>
      <c r="L47" s="41">
        <f>W!A650</f>
        <v>610</v>
      </c>
      <c r="M47" s="41">
        <f>W!A670</f>
        <v>610</v>
      </c>
      <c r="N47" s="48"/>
    </row>
    <row r="48" spans="2:17">
      <c r="B48" s="106"/>
      <c r="D48" s="17" t="s">
        <v>98</v>
      </c>
      <c r="F48" s="41">
        <f>W!A531</f>
        <v>520</v>
      </c>
      <c r="G48" s="41">
        <f>W!A551</f>
        <v>520</v>
      </c>
      <c r="H48" s="41">
        <f>W!A571</f>
        <v>520</v>
      </c>
      <c r="I48" s="41">
        <f>W!A591</f>
        <v>520</v>
      </c>
      <c r="J48" s="41">
        <f>W!A611</f>
        <v>520</v>
      </c>
      <c r="K48" s="41">
        <f>W!A631</f>
        <v>520</v>
      </c>
      <c r="L48" s="41">
        <f>W!A651</f>
        <v>520</v>
      </c>
      <c r="M48" s="41">
        <f>W!A671</f>
        <v>520</v>
      </c>
      <c r="N48" s="48"/>
    </row>
    <row r="49" spans="2:14">
      <c r="B49" s="106"/>
      <c r="C49" s="17" t="s">
        <v>306</v>
      </c>
      <c r="F49" s="41">
        <f>W!A532</f>
        <v>850</v>
      </c>
      <c r="G49" s="41">
        <f>W!A552</f>
        <v>850</v>
      </c>
      <c r="H49" s="41">
        <f>W!A572</f>
        <v>850</v>
      </c>
      <c r="I49" s="41">
        <f>W!A592</f>
        <v>850</v>
      </c>
      <c r="J49" s="41">
        <f>W!A612</f>
        <v>850</v>
      </c>
      <c r="K49" s="41">
        <f>W!A632</f>
        <v>850</v>
      </c>
      <c r="L49" s="41">
        <f>W!A652</f>
        <v>850</v>
      </c>
      <c r="M49" s="41">
        <f>W!A672</f>
        <v>850</v>
      </c>
      <c r="N49" s="48"/>
    </row>
    <row r="50" spans="2:14">
      <c r="B50" s="106"/>
      <c r="C50" s="17" t="s">
        <v>3</v>
      </c>
      <c r="D50" s="26" t="s">
        <v>326</v>
      </c>
      <c r="F50" s="41">
        <f>W!A533</f>
        <v>850</v>
      </c>
      <c r="G50" s="41">
        <f>W!A553</f>
        <v>850</v>
      </c>
      <c r="H50" s="41">
        <f>W!A573</f>
        <v>850</v>
      </c>
      <c r="I50" s="41">
        <f>W!A593</f>
        <v>850</v>
      </c>
      <c r="J50" s="41">
        <f>W!A613</f>
        <v>850</v>
      </c>
      <c r="K50" s="41">
        <f>W!A633</f>
        <v>850</v>
      </c>
      <c r="L50" s="41">
        <f>W!A653</f>
        <v>850</v>
      </c>
      <c r="M50" s="41">
        <f>W!A673</f>
        <v>850</v>
      </c>
      <c r="N50" s="48"/>
    </row>
    <row r="51" spans="2:14">
      <c r="B51" s="106"/>
      <c r="D51" s="17" t="s">
        <v>98</v>
      </c>
      <c r="F51" s="41">
        <f>W!A534</f>
        <v>740</v>
      </c>
      <c r="G51" s="41">
        <f>W!A554</f>
        <v>740</v>
      </c>
      <c r="H51" s="41">
        <f>W!A574</f>
        <v>740</v>
      </c>
      <c r="I51" s="41">
        <f>W!A594</f>
        <v>740</v>
      </c>
      <c r="J51" s="41">
        <f>W!A614</f>
        <v>740</v>
      </c>
      <c r="K51" s="41">
        <f>W!A634</f>
        <v>740</v>
      </c>
      <c r="L51" s="41">
        <f>W!A654</f>
        <v>740</v>
      </c>
      <c r="M51" s="41">
        <f>W!A674</f>
        <v>740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114</v>
      </c>
      <c r="G53" s="41">
        <f>W!A555</f>
        <v>114</v>
      </c>
      <c r="H53" s="41">
        <f>W!A575</f>
        <v>114</v>
      </c>
      <c r="I53" s="41">
        <f>W!A595</f>
        <v>114</v>
      </c>
      <c r="J53" s="41">
        <f>W!A615</f>
        <v>114</v>
      </c>
      <c r="K53" s="41">
        <f>W!A635</f>
        <v>114</v>
      </c>
      <c r="L53" s="41">
        <f>W!A655</f>
        <v>114</v>
      </c>
      <c r="M53" s="41">
        <f>W!A675</f>
        <v>114</v>
      </c>
      <c r="N53" s="48"/>
    </row>
    <row r="54" spans="2:14">
      <c r="B54" s="106"/>
      <c r="C54" s="84" t="s">
        <v>322</v>
      </c>
      <c r="F54" s="41">
        <f>W!A536</f>
        <v>1000</v>
      </c>
      <c r="G54" s="41">
        <f>W!A556</f>
        <v>1000</v>
      </c>
      <c r="H54" s="41">
        <f>W!A576</f>
        <v>1000</v>
      </c>
      <c r="I54" s="41">
        <f>W!A596</f>
        <v>1000</v>
      </c>
      <c r="J54" s="41">
        <f>W!A616</f>
        <v>1000</v>
      </c>
      <c r="K54" s="41">
        <f>W!A636</f>
        <v>1000</v>
      </c>
      <c r="L54" s="41">
        <f>W!A656</f>
        <v>1000</v>
      </c>
      <c r="M54" s="41">
        <f>W!A676</f>
        <v>1000</v>
      </c>
      <c r="N54" s="48"/>
    </row>
    <row r="55" spans="2:14">
      <c r="B55" s="106"/>
      <c r="C55" s="17" t="s">
        <v>266</v>
      </c>
      <c r="F55" s="41">
        <f>W!A537</f>
        <v>5</v>
      </c>
      <c r="G55" s="41">
        <f>W!A557</f>
        <v>5</v>
      </c>
      <c r="H55" s="41">
        <f>W!A577</f>
        <v>5</v>
      </c>
      <c r="I55" s="41">
        <f>W!A597</f>
        <v>5</v>
      </c>
      <c r="J55" s="41">
        <f>W!A617</f>
        <v>5</v>
      </c>
      <c r="K55" s="41">
        <f>W!A637</f>
        <v>5</v>
      </c>
      <c r="L55" s="41">
        <f>W!A657</f>
        <v>5</v>
      </c>
      <c r="M55" s="41">
        <f>W!A677</f>
        <v>5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331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2025</v>
      </c>
      <c r="M61" s="139" t="s">
        <v>11</v>
      </c>
      <c r="N61" s="115">
        <f>W!$A5</f>
        <v>3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3252696</v>
      </c>
      <c r="G67" s="41">
        <f>W!A722</f>
        <v>3252696</v>
      </c>
      <c r="H67" s="41">
        <f>W!A742</f>
        <v>3252696</v>
      </c>
      <c r="I67" s="41">
        <f>W!A762</f>
        <v>3252696</v>
      </c>
      <c r="J67" s="41">
        <f>W!A782</f>
        <v>3252696</v>
      </c>
      <c r="K67" s="41">
        <f>W!A802</f>
        <v>3252696</v>
      </c>
      <c r="L67" s="41">
        <f>W!A822</f>
        <v>3252696</v>
      </c>
      <c r="M67" s="41">
        <f>W!A842</f>
        <v>3252696</v>
      </c>
      <c r="N67" s="22"/>
    </row>
    <row r="68" spans="2:14">
      <c r="B68" s="106"/>
      <c r="C68" s="17" t="s">
        <v>272</v>
      </c>
      <c r="F68" s="41">
        <f>W!A703</f>
        <v>377216</v>
      </c>
      <c r="G68" s="41">
        <f>W!A723</f>
        <v>377216</v>
      </c>
      <c r="H68" s="41">
        <f>W!A743</f>
        <v>377216</v>
      </c>
      <c r="I68" s="41">
        <f>W!A763</f>
        <v>377216</v>
      </c>
      <c r="J68" s="41">
        <f>W!A783</f>
        <v>377216</v>
      </c>
      <c r="K68" s="41">
        <f>W!A803</f>
        <v>377216</v>
      </c>
      <c r="L68" s="41">
        <f>W!A823</f>
        <v>377216</v>
      </c>
      <c r="M68" s="41">
        <f>W!A843</f>
        <v>377216</v>
      </c>
      <c r="N68" s="22"/>
    </row>
    <row r="69" spans="2:14">
      <c r="B69" s="106"/>
      <c r="C69" s="17" t="s">
        <v>273</v>
      </c>
      <c r="F69" s="41">
        <f>W!A704</f>
        <v>1391219</v>
      </c>
      <c r="G69" s="41">
        <f>W!A724</f>
        <v>1391219</v>
      </c>
      <c r="H69" s="41">
        <f>W!A744</f>
        <v>1391219</v>
      </c>
      <c r="I69" s="41">
        <f>W!A764</f>
        <v>1391219</v>
      </c>
      <c r="J69" s="41">
        <f>W!A784</f>
        <v>1391219</v>
      </c>
      <c r="K69" s="41">
        <f>W!A804</f>
        <v>1391219</v>
      </c>
      <c r="L69" s="41">
        <f>W!A824</f>
        <v>1391219</v>
      </c>
      <c r="M69" s="41">
        <f>W!A844</f>
        <v>1391219</v>
      </c>
      <c r="N69" s="22"/>
    </row>
    <row r="70" spans="2:14">
      <c r="B70" s="106"/>
      <c r="C70" s="17" t="s">
        <v>274</v>
      </c>
      <c r="F70" s="41">
        <f>W!A705</f>
        <v>447182</v>
      </c>
      <c r="G70" s="41">
        <f>W!A725</f>
        <v>447182</v>
      </c>
      <c r="H70" s="41">
        <f>W!A745</f>
        <v>447182</v>
      </c>
      <c r="I70" s="41">
        <f>W!A765</f>
        <v>447182</v>
      </c>
      <c r="J70" s="41">
        <f>W!A785</f>
        <v>447182</v>
      </c>
      <c r="K70" s="41">
        <f>W!A805</f>
        <v>447182</v>
      </c>
      <c r="L70" s="41">
        <f>W!A825</f>
        <v>447182</v>
      </c>
      <c r="M70" s="41">
        <f>W!A845</f>
        <v>447182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690908</v>
      </c>
      <c r="G74" s="41">
        <f>W!A729</f>
        <v>690908</v>
      </c>
      <c r="H74" s="41">
        <f>W!A749</f>
        <v>690908</v>
      </c>
      <c r="I74" s="41">
        <f>W!A769</f>
        <v>690908</v>
      </c>
      <c r="J74" s="41">
        <f>W!A789</f>
        <v>690908</v>
      </c>
      <c r="K74" s="41">
        <f>W!A809</f>
        <v>690908</v>
      </c>
      <c r="L74" s="41">
        <f>W!A829</f>
        <v>690908</v>
      </c>
      <c r="M74" s="41">
        <f>W!A849</f>
        <v>690908</v>
      </c>
      <c r="N74" s="22"/>
    </row>
    <row r="75" spans="2:14">
      <c r="B75" s="106"/>
      <c r="C75" s="17" t="s">
        <v>278</v>
      </c>
      <c r="F75" s="41">
        <f>W!A710</f>
        <v>0</v>
      </c>
      <c r="G75" s="41">
        <f>W!A730</f>
        <v>0</v>
      </c>
      <c r="H75" s="41">
        <f>W!A750</f>
        <v>0</v>
      </c>
      <c r="I75" s="41">
        <f>W!A770</f>
        <v>0</v>
      </c>
      <c r="J75" s="41">
        <f>W!A790</f>
        <v>0</v>
      </c>
      <c r="K75" s="41">
        <f>W!A810</f>
        <v>0</v>
      </c>
      <c r="L75" s="41">
        <f>W!A830</f>
        <v>0</v>
      </c>
      <c r="M75" s="41">
        <f>W!A850</f>
        <v>0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4000000</v>
      </c>
      <c r="G80" s="41">
        <f>W!A734</f>
        <v>4000000</v>
      </c>
      <c r="H80" s="41">
        <f>W!A754</f>
        <v>4000000</v>
      </c>
      <c r="I80" s="41">
        <f>W!A774</f>
        <v>4000000</v>
      </c>
      <c r="J80" s="41">
        <f>W!A794</f>
        <v>4000000</v>
      </c>
      <c r="K80" s="41">
        <f>W!A814</f>
        <v>4000000</v>
      </c>
      <c r="L80" s="41">
        <f>W!A834</f>
        <v>4000000</v>
      </c>
      <c r="M80" s="41">
        <f>W!A854</f>
        <v>4000000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777405</v>
      </c>
      <c r="G82" s="41">
        <f>W!A736</f>
        <v>777405</v>
      </c>
      <c r="H82" s="41">
        <f>W!A756</f>
        <v>777405</v>
      </c>
      <c r="I82" s="41">
        <f>W!A776</f>
        <v>777405</v>
      </c>
      <c r="J82" s="41">
        <f>W!A796</f>
        <v>777405</v>
      </c>
      <c r="K82" s="41">
        <f>W!A816</f>
        <v>777405</v>
      </c>
      <c r="L82" s="41">
        <f>W!A836</f>
        <v>777405</v>
      </c>
      <c r="M82" s="41">
        <f>W!A856</f>
        <v>777405</v>
      </c>
      <c r="N82" s="22"/>
    </row>
    <row r="83" spans="2:14" ht="12">
      <c r="B83" s="106"/>
      <c r="C83" s="20" t="s">
        <v>232</v>
      </c>
      <c r="F83" s="41">
        <f t="shared" ref="F83:M83" si="0">SUM(F80:F82)</f>
        <v>4777405</v>
      </c>
      <c r="G83" s="41">
        <f t="shared" si="0"/>
        <v>4777405</v>
      </c>
      <c r="H83" s="41">
        <f t="shared" si="0"/>
        <v>4777405</v>
      </c>
      <c r="I83" s="41">
        <f t="shared" si="0"/>
        <v>4777405</v>
      </c>
      <c r="J83" s="41">
        <f t="shared" si="0"/>
        <v>4777405</v>
      </c>
      <c r="K83" s="41">
        <f t="shared" si="0"/>
        <v>4777405</v>
      </c>
      <c r="L83" s="41">
        <f t="shared" si="0"/>
        <v>4777405</v>
      </c>
      <c r="M83" s="41">
        <f t="shared" si="0"/>
        <v>4777405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307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326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305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326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306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326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319</v>
      </c>
      <c r="F104" s="41">
        <f>W!A422</f>
        <v>360000</v>
      </c>
      <c r="G104" s="41">
        <f>W!A429</f>
        <v>360000</v>
      </c>
      <c r="H104" s="41">
        <f>W!A436</f>
        <v>360000</v>
      </c>
      <c r="I104" s="41">
        <f>W!A443</f>
        <v>360000</v>
      </c>
      <c r="J104" s="41">
        <f>W!A450</f>
        <v>360000</v>
      </c>
      <c r="K104" s="41">
        <f>W!A457</f>
        <v>360000</v>
      </c>
      <c r="L104" s="41">
        <f>W!A464</f>
        <v>360000</v>
      </c>
      <c r="M104" s="41">
        <f>W!A471</f>
        <v>360000</v>
      </c>
      <c r="N104" s="22"/>
    </row>
    <row r="105" spans="2:14">
      <c r="B105" s="106"/>
      <c r="C105" s="17" t="s">
        <v>320</v>
      </c>
      <c r="F105" s="41">
        <f>W!A423</f>
        <v>90000</v>
      </c>
      <c r="G105" s="41">
        <f>W!A430</f>
        <v>90000</v>
      </c>
      <c r="H105" s="41">
        <f>W!A437</f>
        <v>90000</v>
      </c>
      <c r="I105" s="41">
        <f>W!A444</f>
        <v>90000</v>
      </c>
      <c r="J105" s="41">
        <f>W!A451</f>
        <v>90000</v>
      </c>
      <c r="K105" s="41">
        <f>W!A458</f>
        <v>90000</v>
      </c>
      <c r="L105" s="41">
        <f>W!A465</f>
        <v>90000</v>
      </c>
      <c r="M105" s="41">
        <f>W!A472</f>
        <v>90000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****</v>
      </c>
      <c r="G107" s="103" t="str">
        <f>W!A431</f>
        <v xml:space="preserve"> ****</v>
      </c>
      <c r="H107" s="103" t="str">
        <f>W!A438</f>
        <v xml:space="preserve"> ****</v>
      </c>
      <c r="I107" s="103" t="str">
        <f>W!A445</f>
        <v xml:space="preserve"> ****</v>
      </c>
      <c r="J107" s="103" t="str">
        <f>W!A452</f>
        <v xml:space="preserve"> ****</v>
      </c>
      <c r="K107" s="103" t="str">
        <f>W!A459</f>
        <v xml:space="preserve"> ****</v>
      </c>
      <c r="L107" s="103" t="str">
        <f>W!A466</f>
        <v xml:space="preserve"> ****</v>
      </c>
      <c r="M107" s="103" t="str">
        <f>W!A473</f>
        <v xml:space="preserve"> ****</v>
      </c>
      <c r="N107" s="22"/>
    </row>
    <row r="108" spans="2:14">
      <c r="B108" s="106"/>
      <c r="C108" s="17" t="s">
        <v>291</v>
      </c>
      <c r="F108" s="103" t="str">
        <f>W!A425</f>
        <v>*****</v>
      </c>
      <c r="G108" s="103" t="str">
        <f>W!A432</f>
        <v>*****</v>
      </c>
      <c r="H108" s="103" t="str">
        <f>W!A439</f>
        <v>*****</v>
      </c>
      <c r="I108" s="103" t="str">
        <f>W!A446</f>
        <v>*****</v>
      </c>
      <c r="J108" s="103" t="str">
        <f>W!A453</f>
        <v>*****</v>
      </c>
      <c r="K108" s="103" t="str">
        <f>W!A460</f>
        <v>*****</v>
      </c>
      <c r="L108" s="103" t="str">
        <f>W!A467</f>
        <v>*****</v>
      </c>
      <c r="M108" s="103" t="str">
        <f>W!A474</f>
        <v>*****</v>
      </c>
      <c r="N108" s="22"/>
    </row>
    <row r="109" spans="2:14">
      <c r="B109" s="106"/>
      <c r="C109" s="17" t="s">
        <v>292</v>
      </c>
      <c r="F109" s="103" t="str">
        <f>W!A426</f>
        <v xml:space="preserve"> ****</v>
      </c>
      <c r="G109" s="103" t="str">
        <f>W!A433</f>
        <v xml:space="preserve"> ****</v>
      </c>
      <c r="H109" s="103" t="str">
        <f>W!A440</f>
        <v xml:space="preserve"> ****</v>
      </c>
      <c r="I109" s="103" t="str">
        <f>W!A447</f>
        <v xml:space="preserve"> ****</v>
      </c>
      <c r="J109" s="103" t="str">
        <f>W!A454</f>
        <v xml:space="preserve"> ****</v>
      </c>
      <c r="K109" s="103" t="str">
        <f>W!A461</f>
        <v xml:space="preserve"> ****</v>
      </c>
      <c r="L109" s="103" t="str">
        <f>W!A468</f>
        <v xml:space="preserve"> ****</v>
      </c>
      <c r="M109" s="103" t="str">
        <f>W!A475</f>
        <v xml:space="preserve"> ****</v>
      </c>
      <c r="N109" s="22"/>
    </row>
    <row r="110" spans="2:14">
      <c r="B110" s="106"/>
      <c r="C110" s="17" t="s">
        <v>293</v>
      </c>
      <c r="F110" s="103" t="str">
        <f>W!A427</f>
        <v xml:space="preserve"> ****</v>
      </c>
      <c r="G110" s="103" t="str">
        <f>W!A434</f>
        <v xml:space="preserve"> ****</v>
      </c>
      <c r="H110" s="103" t="str">
        <f>W!A441</f>
        <v xml:space="preserve"> ****</v>
      </c>
      <c r="I110" s="103" t="str">
        <f>W!A448</f>
        <v xml:space="preserve"> ****</v>
      </c>
      <c r="J110" s="103" t="str">
        <f>W!A455</f>
        <v xml:space="preserve"> ****</v>
      </c>
      <c r="K110" s="103" t="str">
        <f>W!A462</f>
        <v xml:space="preserve"> ****</v>
      </c>
      <c r="L110" s="103" t="str">
        <f>W!A469</f>
        <v xml:space="preserve"> ****</v>
      </c>
      <c r="M110" s="103" t="str">
        <f>W!A476</f>
        <v xml:space="preserve"> ****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331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861"/>
  <sheetViews>
    <sheetView showGridLines="0" topLeftCell="A661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3" spans="1:1">
      <c r="A3">
        <v>999</v>
      </c>
    </row>
    <row r="4" spans="1:1">
      <c r="A4">
        <v>2025</v>
      </c>
    </row>
    <row r="5" spans="1:1">
      <c r="A5">
        <v>3</v>
      </c>
    </row>
    <row r="6" spans="1:1">
      <c r="A6" t="s">
        <v>332</v>
      </c>
    </row>
    <row r="7" spans="1:1">
      <c r="A7">
        <v>30</v>
      </c>
    </row>
    <row r="8" spans="1:1">
      <c r="A8">
        <v>30</v>
      </c>
    </row>
    <row r="9" spans="1:1">
      <c r="A9">
        <v>30</v>
      </c>
    </row>
    <row r="10" spans="1:1">
      <c r="A10">
        <v>0</v>
      </c>
    </row>
    <row r="11" spans="1:1">
      <c r="A11">
        <v>30</v>
      </c>
    </row>
    <row r="12" spans="1:1">
      <c r="A12">
        <v>30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0</v>
      </c>
    </row>
    <row r="21" spans="1:1">
      <c r="A21">
        <v>360</v>
      </c>
    </row>
    <row r="22" spans="1:1">
      <c r="A22">
        <v>360</v>
      </c>
    </row>
    <row r="23" spans="1:1">
      <c r="A23">
        <v>340</v>
      </c>
    </row>
    <row r="24" spans="1:1">
      <c r="A24">
        <v>610</v>
      </c>
    </row>
    <row r="25" spans="1:1">
      <c r="A25">
        <v>610</v>
      </c>
    </row>
    <row r="26" spans="1:1">
      <c r="A26">
        <v>520</v>
      </c>
    </row>
    <row r="27" spans="1:1">
      <c r="A27">
        <v>850</v>
      </c>
    </row>
    <row r="28" spans="1:1">
      <c r="A28">
        <v>850</v>
      </c>
    </row>
    <row r="29" spans="1:1">
      <c r="A29">
        <v>740</v>
      </c>
    </row>
    <row r="30" spans="1:1">
      <c r="A30">
        <v>0</v>
      </c>
    </row>
    <row r="31" spans="1:1">
      <c r="A31">
        <v>700</v>
      </c>
    </row>
    <row r="32" spans="1:1">
      <c r="A32">
        <v>925</v>
      </c>
    </row>
    <row r="33" spans="1:2">
      <c r="A33">
        <v>1000</v>
      </c>
    </row>
    <row r="34" spans="1:2">
      <c r="A34">
        <v>400</v>
      </c>
      <c r="B34" t="s">
        <v>333</v>
      </c>
    </row>
    <row r="35" spans="1:2">
      <c r="A35">
        <v>475</v>
      </c>
    </row>
    <row r="36" spans="1:2">
      <c r="A36">
        <v>600</v>
      </c>
    </row>
    <row r="37" spans="1:2">
      <c r="A37">
        <v>220</v>
      </c>
    </row>
    <row r="38" spans="1:2">
      <c r="A38">
        <v>250</v>
      </c>
    </row>
    <row r="39" spans="1:2">
      <c r="A39">
        <v>250</v>
      </c>
    </row>
    <row r="40" spans="1:2">
      <c r="A40">
        <v>0</v>
      </c>
    </row>
    <row r="41" spans="1:2">
      <c r="A41">
        <v>0</v>
      </c>
    </row>
    <row r="42" spans="1:2">
      <c r="A42">
        <v>0</v>
      </c>
    </row>
    <row r="43" spans="1:2">
      <c r="A43">
        <v>0</v>
      </c>
    </row>
    <row r="44" spans="1:2">
      <c r="A44">
        <v>30</v>
      </c>
    </row>
    <row r="45" spans="1:2">
      <c r="A45">
        <v>30</v>
      </c>
    </row>
    <row r="46" spans="1:2">
      <c r="A46">
        <v>30</v>
      </c>
    </row>
    <row r="47" spans="1:2">
      <c r="A47">
        <v>115</v>
      </c>
    </row>
    <row r="48" spans="1:2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8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13</v>
      </c>
    </row>
    <row r="63" spans="1:1">
      <c r="A63">
        <v>13</v>
      </c>
    </row>
    <row r="64" spans="1:1">
      <c r="A64">
        <v>3</v>
      </c>
    </row>
    <row r="65" spans="1:1">
      <c r="A65">
        <v>13</v>
      </c>
    </row>
    <row r="66" spans="1:1">
      <c r="A66">
        <v>13</v>
      </c>
    </row>
    <row r="67" spans="1:1">
      <c r="A67">
        <v>0</v>
      </c>
    </row>
    <row r="68" spans="1:1">
      <c r="A68">
        <v>11</v>
      </c>
    </row>
    <row r="69" spans="1:1">
      <c r="A69">
        <v>11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25</v>
      </c>
    </row>
    <row r="76" spans="1:1">
      <c r="A76">
        <v>2</v>
      </c>
    </row>
    <row r="77" spans="1:1">
      <c r="A77">
        <v>10</v>
      </c>
    </row>
    <row r="78" spans="1:1">
      <c r="A78">
        <v>30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1000</v>
      </c>
    </row>
    <row r="84" spans="1:1">
      <c r="A84">
        <v>0</v>
      </c>
    </row>
    <row r="85" spans="1:1">
      <c r="A85">
        <v>115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2</v>
      </c>
    </row>
    <row r="100" spans="1:1">
      <c r="A100">
        <v>999</v>
      </c>
    </row>
    <row r="101" spans="1:1">
      <c r="A101">
        <v>999</v>
      </c>
    </row>
    <row r="102" spans="1:1">
      <c r="A102">
        <v>148</v>
      </c>
    </row>
    <row r="103" spans="1:1">
      <c r="A103">
        <v>163</v>
      </c>
    </row>
    <row r="104" spans="1:1">
      <c r="A104">
        <v>148</v>
      </c>
    </row>
    <row r="105" spans="1:1">
      <c r="A105" t="s">
        <v>334</v>
      </c>
    </row>
    <row r="106" spans="1:1">
      <c r="A106" t="s">
        <v>335</v>
      </c>
    </row>
    <row r="107" spans="1:1">
      <c r="A107" t="s">
        <v>336</v>
      </c>
    </row>
    <row r="108" spans="1:1">
      <c r="A108">
        <v>2625</v>
      </c>
    </row>
    <row r="109" spans="1:1">
      <c r="A109">
        <v>1474</v>
      </c>
    </row>
    <row r="110" spans="1:1">
      <c r="A110">
        <v>720</v>
      </c>
    </row>
    <row r="111" spans="1:1">
      <c r="A111">
        <v>2719</v>
      </c>
    </row>
    <row r="112" spans="1:1">
      <c r="A112">
        <v>1530</v>
      </c>
    </row>
    <row r="113" spans="1:2">
      <c r="A113">
        <v>747</v>
      </c>
    </row>
    <row r="114" spans="1:2">
      <c r="A114">
        <v>94</v>
      </c>
    </row>
    <row r="115" spans="1:2">
      <c r="A115">
        <v>55</v>
      </c>
    </row>
    <row r="116" spans="1:2">
      <c r="A116">
        <v>27</v>
      </c>
    </row>
    <row r="117" spans="1:2">
      <c r="A117">
        <v>0</v>
      </c>
    </row>
    <row r="118" spans="1:2">
      <c r="A118">
        <v>1</v>
      </c>
      <c r="B118" t="s">
        <v>297</v>
      </c>
    </row>
    <row r="119" spans="1:2">
      <c r="A119">
        <v>0</v>
      </c>
    </row>
    <row r="120" spans="1:2">
      <c r="A120">
        <v>999</v>
      </c>
    </row>
    <row r="121" spans="1:2">
      <c r="A121">
        <v>700</v>
      </c>
    </row>
    <row r="122" spans="1:2">
      <c r="A122">
        <v>925</v>
      </c>
    </row>
    <row r="123" spans="1:2">
      <c r="A123">
        <v>1000</v>
      </c>
    </row>
    <row r="124" spans="1:2">
      <c r="A124">
        <v>399</v>
      </c>
    </row>
    <row r="125" spans="1:2">
      <c r="A125">
        <v>475</v>
      </c>
    </row>
    <row r="126" spans="1:2">
      <c r="A126">
        <v>600</v>
      </c>
    </row>
    <row r="127" spans="1:2">
      <c r="A127">
        <v>220</v>
      </c>
    </row>
    <row r="128" spans="1:2">
      <c r="A128">
        <v>250</v>
      </c>
    </row>
    <row r="129" spans="1:1">
      <c r="A129">
        <v>250</v>
      </c>
    </row>
    <row r="130" spans="1:1">
      <c r="A130">
        <v>999</v>
      </c>
    </row>
    <row r="131" spans="1:1">
      <c r="A131">
        <v>745</v>
      </c>
    </row>
    <row r="132" spans="1:1">
      <c r="A132">
        <v>910</v>
      </c>
    </row>
    <row r="133" spans="1:1">
      <c r="A133">
        <v>1005</v>
      </c>
    </row>
    <row r="134" spans="1:1">
      <c r="A134">
        <v>351</v>
      </c>
    </row>
    <row r="135" spans="1:1">
      <c r="A135">
        <v>430</v>
      </c>
    </row>
    <row r="136" spans="1:1">
      <c r="A136">
        <v>632</v>
      </c>
    </row>
    <row r="137" spans="1:1">
      <c r="A137">
        <v>219</v>
      </c>
    </row>
    <row r="138" spans="1:1">
      <c r="A138">
        <v>247</v>
      </c>
    </row>
    <row r="139" spans="1:1">
      <c r="A139">
        <v>339</v>
      </c>
    </row>
    <row r="140" spans="1:1">
      <c r="A140">
        <v>999</v>
      </c>
    </row>
    <row r="141" spans="1:1">
      <c r="A141">
        <v>739</v>
      </c>
    </row>
    <row r="142" spans="1:1">
      <c r="A142">
        <v>925</v>
      </c>
    </row>
    <row r="143" spans="1:1">
      <c r="A143">
        <v>1000</v>
      </c>
    </row>
    <row r="144" spans="1:1">
      <c r="A144">
        <v>377</v>
      </c>
    </row>
    <row r="145" spans="1:1">
      <c r="A145">
        <v>464</v>
      </c>
    </row>
    <row r="146" spans="1:1">
      <c r="A146">
        <v>632</v>
      </c>
    </row>
    <row r="147" spans="1:1">
      <c r="A147">
        <v>219</v>
      </c>
    </row>
    <row r="148" spans="1:1">
      <c r="A148">
        <v>247</v>
      </c>
    </row>
    <row r="149" spans="1:1">
      <c r="A149">
        <v>337</v>
      </c>
    </row>
    <row r="150" spans="1:1">
      <c r="A150">
        <v>999</v>
      </c>
    </row>
    <row r="151" spans="1:1">
      <c r="A151">
        <v>3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22</v>
      </c>
    </row>
    <row r="165" spans="1:1">
      <c r="A165">
        <v>11</v>
      </c>
    </row>
    <row r="166" spans="1:1">
      <c r="A166">
        <v>37</v>
      </c>
    </row>
    <row r="167" spans="1:1">
      <c r="A167">
        <v>1</v>
      </c>
    </row>
    <row r="168" spans="1:1">
      <c r="A168">
        <v>27</v>
      </c>
    </row>
    <row r="169" spans="1:1">
      <c r="A169">
        <v>0</v>
      </c>
    </row>
    <row r="170" spans="1:1">
      <c r="A170">
        <v>999</v>
      </c>
    </row>
    <row r="171" spans="1:1">
      <c r="A171">
        <v>106</v>
      </c>
    </row>
    <row r="172" spans="1:1">
      <c r="A172">
        <v>58</v>
      </c>
    </row>
    <row r="173" spans="1:1">
      <c r="A173">
        <v>36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337</v>
      </c>
    </row>
    <row r="178" spans="1:1">
      <c r="A178" t="s">
        <v>337</v>
      </c>
    </row>
    <row r="179" spans="1:1">
      <c r="A179" t="s">
        <v>294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26</v>
      </c>
    </row>
    <row r="192" spans="1:1">
      <c r="A192">
        <v>76</v>
      </c>
    </row>
    <row r="193" spans="1:1">
      <c r="A193">
        <v>0</v>
      </c>
    </row>
    <row r="194" spans="1:1">
      <c r="A194">
        <v>12</v>
      </c>
    </row>
    <row r="195" spans="1:1">
      <c r="A195">
        <v>0</v>
      </c>
    </row>
    <row r="196" spans="1:1">
      <c r="A196">
        <v>0</v>
      </c>
    </row>
    <row r="197" spans="1:1">
      <c r="A197">
        <v>26</v>
      </c>
    </row>
    <row r="198" spans="1:1">
      <c r="A198">
        <v>76</v>
      </c>
    </row>
    <row r="199" spans="1:1">
      <c r="A199">
        <v>999</v>
      </c>
    </row>
    <row r="200" spans="1:1">
      <c r="A200">
        <v>999</v>
      </c>
    </row>
    <row r="201" spans="1:1">
      <c r="A201">
        <v>360000</v>
      </c>
    </row>
    <row r="202" spans="1:1">
      <c r="A202">
        <v>111981</v>
      </c>
    </row>
    <row r="203" spans="1:1">
      <c r="A203">
        <v>38540</v>
      </c>
    </row>
    <row r="204" spans="1:1">
      <c r="A204">
        <v>259277</v>
      </c>
    </row>
    <row r="205" spans="1:1">
      <c r="A205">
        <v>24375</v>
      </c>
    </row>
    <row r="206" spans="1:1">
      <c r="A206">
        <v>24060</v>
      </c>
    </row>
    <row r="207" spans="1:1">
      <c r="A207">
        <v>90000</v>
      </c>
    </row>
    <row r="208" spans="1:1">
      <c r="A208">
        <v>30000</v>
      </c>
    </row>
    <row r="209" spans="1:1">
      <c r="A209">
        <v>12000</v>
      </c>
    </row>
    <row r="210" spans="1:1">
      <c r="A210">
        <v>23375</v>
      </c>
    </row>
    <row r="211" spans="1:1">
      <c r="A211">
        <v>8075</v>
      </c>
    </row>
    <row r="212" spans="1:1">
      <c r="A212">
        <v>7500</v>
      </c>
    </row>
    <row r="213" spans="1:1">
      <c r="A213">
        <v>4940</v>
      </c>
    </row>
    <row r="214" spans="1:1">
      <c r="A214">
        <v>13009</v>
      </c>
    </row>
    <row r="215" spans="1:1">
      <c r="A215">
        <v>115000</v>
      </c>
    </row>
    <row r="216" spans="1:1">
      <c r="A216">
        <v>19442</v>
      </c>
    </row>
    <row r="217" spans="1:1">
      <c r="A217">
        <v>1141574</v>
      </c>
    </row>
    <row r="218" spans="1:1">
      <c r="A218">
        <v>2320324</v>
      </c>
    </row>
    <row r="219" spans="1:1">
      <c r="A219">
        <v>157</v>
      </c>
    </row>
    <row r="220" spans="1:1">
      <c r="A220">
        <v>7434</v>
      </c>
    </row>
    <row r="221" spans="1:1">
      <c r="A221">
        <v>2320324</v>
      </c>
    </row>
    <row r="222" spans="1:1">
      <c r="A222">
        <v>0</v>
      </c>
    </row>
    <row r="223" spans="1:1">
      <c r="A223">
        <v>2139546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180778</v>
      </c>
    </row>
    <row r="234" spans="1:1">
      <c r="A234">
        <v>266404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1200000</v>
      </c>
    </row>
    <row r="239" spans="1:1">
      <c r="A239">
        <v>1385000</v>
      </c>
    </row>
    <row r="240" spans="1:1">
      <c r="A240">
        <v>116886</v>
      </c>
    </row>
    <row r="241" spans="1:1">
      <c r="A241">
        <v>2437570</v>
      </c>
    </row>
    <row r="242" spans="1:1">
      <c r="A242">
        <v>404043</v>
      </c>
    </row>
    <row r="243" spans="1:1">
      <c r="A243">
        <v>0</v>
      </c>
    </row>
    <row r="244" spans="1:1">
      <c r="A244">
        <v>344096</v>
      </c>
    </row>
    <row r="245" spans="1:1">
      <c r="A245">
        <v>120928</v>
      </c>
    </row>
    <row r="246" spans="1:1">
      <c r="A246">
        <v>274560</v>
      </c>
    </row>
    <row r="247" spans="1:1">
      <c r="A247">
        <v>149160</v>
      </c>
    </row>
    <row r="248" spans="1:1">
      <c r="A248">
        <v>4996</v>
      </c>
    </row>
    <row r="249" spans="1:1">
      <c r="A249">
        <v>73350</v>
      </c>
    </row>
    <row r="250" spans="1:1">
      <c r="A250">
        <v>377216</v>
      </c>
    </row>
    <row r="251" spans="1:1">
      <c r="A251">
        <v>993917</v>
      </c>
    </row>
    <row r="252" spans="1:1">
      <c r="A252">
        <v>1443653</v>
      </c>
    </row>
    <row r="253" spans="1:1">
      <c r="A253">
        <v>0</v>
      </c>
    </row>
    <row r="254" spans="1:1">
      <c r="A254">
        <v>60324</v>
      </c>
    </row>
    <row r="255" spans="1:1">
      <c r="A255">
        <v>0</v>
      </c>
    </row>
    <row r="256" spans="1:1">
      <c r="A256">
        <v>241755</v>
      </c>
    </row>
    <row r="257" spans="1:1">
      <c r="A257">
        <v>358641</v>
      </c>
    </row>
    <row r="258" spans="1:1">
      <c r="A258">
        <v>999</v>
      </c>
    </row>
    <row r="259" spans="1:1">
      <c r="A259">
        <v>999</v>
      </c>
    </row>
    <row r="260" spans="1:1">
      <c r="A260">
        <v>535650</v>
      </c>
    </row>
    <row r="261" spans="1:1">
      <c r="A261">
        <v>450000</v>
      </c>
    </row>
    <row r="262" spans="1:1">
      <c r="A262">
        <v>450000</v>
      </c>
    </row>
    <row r="263" spans="1:1">
      <c r="A263">
        <v>2352696</v>
      </c>
    </row>
    <row r="264" spans="1:1">
      <c r="A264">
        <v>0</v>
      </c>
    </row>
    <row r="265" spans="1:1">
      <c r="A265">
        <v>18102</v>
      </c>
    </row>
    <row r="266" spans="1:1">
      <c r="A266">
        <v>0</v>
      </c>
    </row>
    <row r="267" spans="1:1">
      <c r="A267">
        <v>359114</v>
      </c>
    </row>
    <row r="268" spans="1:1">
      <c r="A268">
        <v>1391219</v>
      </c>
    </row>
    <row r="269" spans="1:1">
      <c r="A269">
        <v>447182</v>
      </c>
    </row>
    <row r="270" spans="1:1">
      <c r="A270">
        <v>0</v>
      </c>
    </row>
    <row r="271" spans="1:1">
      <c r="A271">
        <v>0</v>
      </c>
    </row>
    <row r="272" spans="1:1">
      <c r="A272">
        <v>690908</v>
      </c>
    </row>
    <row r="273" spans="1:1">
      <c r="A273">
        <v>0</v>
      </c>
    </row>
    <row r="274" spans="1:1">
      <c r="A274">
        <v>0</v>
      </c>
    </row>
    <row r="275" spans="1:1">
      <c r="A275">
        <v>4000000</v>
      </c>
    </row>
    <row r="276" spans="1:1">
      <c r="A276">
        <v>0</v>
      </c>
    </row>
    <row r="277" spans="1:1">
      <c r="A277">
        <v>4777405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9000</v>
      </c>
    </row>
    <row r="282" spans="1:1">
      <c r="A282">
        <v>999</v>
      </c>
    </row>
    <row r="283" spans="1:1">
      <c r="A283">
        <v>999</v>
      </c>
    </row>
    <row r="284" spans="1:1">
      <c r="A284">
        <v>900</v>
      </c>
    </row>
    <row r="285" spans="1:1">
      <c r="A285">
        <v>275</v>
      </c>
    </row>
    <row r="286" spans="1:1">
      <c r="A286">
        <v>260</v>
      </c>
    </row>
    <row r="287" spans="1:1">
      <c r="A287">
        <v>55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11</v>
      </c>
    </row>
    <row r="293" spans="1:1">
      <c r="A293">
        <v>0</v>
      </c>
    </row>
    <row r="294" spans="1:1">
      <c r="A294">
        <v>11</v>
      </c>
    </row>
    <row r="295" spans="1:1">
      <c r="A295">
        <v>1434</v>
      </c>
    </row>
    <row r="296" spans="1:1">
      <c r="A296">
        <v>5</v>
      </c>
    </row>
    <row r="297" spans="1:1">
      <c r="A297">
        <v>500</v>
      </c>
    </row>
    <row r="298" spans="1:1">
      <c r="A298">
        <v>6</v>
      </c>
    </row>
    <row r="299" spans="1:1">
      <c r="A299">
        <v>300</v>
      </c>
    </row>
    <row r="300" spans="1:1">
      <c r="A300">
        <v>7</v>
      </c>
    </row>
    <row r="301" spans="1:1">
      <c r="A301">
        <v>11748</v>
      </c>
    </row>
    <row r="302" spans="1:1">
      <c r="A302">
        <v>37</v>
      </c>
    </row>
    <row r="303" spans="1:1">
      <c r="A303">
        <v>6576</v>
      </c>
    </row>
    <row r="304" spans="1:1">
      <c r="A304" t="s">
        <v>338</v>
      </c>
    </row>
    <row r="305" spans="1:1">
      <c r="A305">
        <v>14976</v>
      </c>
    </row>
    <row r="306" spans="1:1">
      <c r="A306">
        <v>172</v>
      </c>
    </row>
    <row r="307" spans="1:1">
      <c r="A307">
        <v>13464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11138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8020</v>
      </c>
    </row>
    <row r="316" spans="1:1">
      <c r="A316">
        <v>11118</v>
      </c>
    </row>
    <row r="317" spans="1:1">
      <c r="A317">
        <v>0</v>
      </c>
    </row>
    <row r="318" spans="1:1">
      <c r="A318">
        <v>11</v>
      </c>
    </row>
    <row r="319" spans="1:1">
      <c r="A319">
        <v>84980</v>
      </c>
    </row>
    <row r="320" spans="1:1">
      <c r="A320">
        <v>920</v>
      </c>
    </row>
    <row r="321" spans="1:1">
      <c r="A321">
        <v>2</v>
      </c>
    </row>
    <row r="322" spans="1:1">
      <c r="A322">
        <v>3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3</v>
      </c>
    </row>
    <row r="327" spans="1:1">
      <c r="A327">
        <v>11</v>
      </c>
    </row>
    <row r="328" spans="1:1">
      <c r="A328">
        <v>10</v>
      </c>
    </row>
    <row r="329" spans="1:1">
      <c r="A329">
        <v>88</v>
      </c>
    </row>
    <row r="330" spans="1:1">
      <c r="A330" t="s">
        <v>298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360000</v>
      </c>
    </row>
    <row r="423" spans="1:1">
      <c r="A423">
        <v>90000</v>
      </c>
    </row>
    <row r="424" spans="1:1">
      <c r="A424" s="80" t="s">
        <v>295</v>
      </c>
    </row>
    <row r="425" spans="1:1">
      <c r="A425" s="80" t="s">
        <v>339</v>
      </c>
    </row>
    <row r="426" spans="1:1">
      <c r="A426" s="80" t="s">
        <v>295</v>
      </c>
    </row>
    <row r="427" spans="1:1">
      <c r="A427" s="80" t="s">
        <v>295</v>
      </c>
    </row>
    <row r="428" spans="1:1">
      <c r="A428">
        <v>2</v>
      </c>
    </row>
    <row r="429" spans="1:1">
      <c r="A429">
        <v>360000</v>
      </c>
    </row>
    <row r="430" spans="1:1">
      <c r="A430">
        <v>90000</v>
      </c>
    </row>
    <row r="431" spans="1:1">
      <c r="A431" s="80" t="s">
        <v>295</v>
      </c>
    </row>
    <row r="432" spans="1:1">
      <c r="A432" s="80" t="s">
        <v>339</v>
      </c>
    </row>
    <row r="433" spans="1:1">
      <c r="A433" s="80" t="s">
        <v>295</v>
      </c>
    </row>
    <row r="434" spans="1:1">
      <c r="A434" s="80" t="s">
        <v>295</v>
      </c>
    </row>
    <row r="435" spans="1:1">
      <c r="A435">
        <v>3</v>
      </c>
    </row>
    <row r="436" spans="1:1">
      <c r="A436">
        <v>360000</v>
      </c>
    </row>
    <row r="437" spans="1:1">
      <c r="A437">
        <v>90000</v>
      </c>
    </row>
    <row r="438" spans="1:1">
      <c r="A438" s="80" t="s">
        <v>295</v>
      </c>
    </row>
    <row r="439" spans="1:1">
      <c r="A439" s="80" t="s">
        <v>339</v>
      </c>
    </row>
    <row r="440" spans="1:1">
      <c r="A440" s="80" t="s">
        <v>295</v>
      </c>
    </row>
    <row r="441" spans="1:1">
      <c r="A441" s="80" t="s">
        <v>295</v>
      </c>
    </row>
    <row r="442" spans="1:1">
      <c r="A442">
        <v>4</v>
      </c>
    </row>
    <row r="443" spans="1:1">
      <c r="A443">
        <v>360000</v>
      </c>
    </row>
    <row r="444" spans="1:1">
      <c r="A444">
        <v>90000</v>
      </c>
    </row>
    <row r="445" spans="1:1">
      <c r="A445" s="80" t="s">
        <v>295</v>
      </c>
    </row>
    <row r="446" spans="1:1">
      <c r="A446" s="80" t="s">
        <v>339</v>
      </c>
    </row>
    <row r="447" spans="1:1">
      <c r="A447" s="80" t="s">
        <v>295</v>
      </c>
    </row>
    <row r="448" spans="1:1">
      <c r="A448" s="80" t="s">
        <v>295</v>
      </c>
    </row>
    <row r="449" spans="1:1">
      <c r="A449">
        <v>5</v>
      </c>
    </row>
    <row r="450" spans="1:1">
      <c r="A450">
        <v>360000</v>
      </c>
    </row>
    <row r="451" spans="1:1">
      <c r="A451">
        <v>90000</v>
      </c>
    </row>
    <row r="452" spans="1:1">
      <c r="A452" s="80" t="s">
        <v>295</v>
      </c>
    </row>
    <row r="453" spans="1:1">
      <c r="A453" s="80" t="s">
        <v>339</v>
      </c>
    </row>
    <row r="454" spans="1:1">
      <c r="A454" s="80" t="s">
        <v>295</v>
      </c>
    </row>
    <row r="455" spans="1:1">
      <c r="A455" s="80" t="s">
        <v>295</v>
      </c>
    </row>
    <row r="456" spans="1:1">
      <c r="A456">
        <v>6</v>
      </c>
    </row>
    <row r="457" spans="1:1">
      <c r="A457">
        <v>360000</v>
      </c>
    </row>
    <row r="458" spans="1:1">
      <c r="A458">
        <v>90000</v>
      </c>
    </row>
    <row r="459" spans="1:1">
      <c r="A459" s="80" t="s">
        <v>295</v>
      </c>
    </row>
    <row r="460" spans="1:1">
      <c r="A460" s="80" t="s">
        <v>339</v>
      </c>
    </row>
    <row r="461" spans="1:1">
      <c r="A461" s="80" t="s">
        <v>295</v>
      </c>
    </row>
    <row r="462" spans="1:1">
      <c r="A462" s="80" t="s">
        <v>295</v>
      </c>
    </row>
    <row r="463" spans="1:1">
      <c r="A463">
        <v>7</v>
      </c>
    </row>
    <row r="464" spans="1:1">
      <c r="A464">
        <v>360000</v>
      </c>
    </row>
    <row r="465" spans="1:1">
      <c r="A465">
        <v>90000</v>
      </c>
    </row>
    <row r="466" spans="1:1">
      <c r="A466" s="80" t="s">
        <v>295</v>
      </c>
    </row>
    <row r="467" spans="1:1">
      <c r="A467" s="80" t="s">
        <v>339</v>
      </c>
    </row>
    <row r="468" spans="1:1">
      <c r="A468" s="80" t="s">
        <v>295</v>
      </c>
    </row>
    <row r="469" spans="1:1">
      <c r="A469" s="80" t="s">
        <v>295</v>
      </c>
    </row>
    <row r="470" spans="1:1">
      <c r="A470">
        <v>8</v>
      </c>
    </row>
    <row r="471" spans="1:1">
      <c r="A471">
        <v>360000</v>
      </c>
    </row>
    <row r="472" spans="1:1">
      <c r="A472">
        <v>90000</v>
      </c>
    </row>
    <row r="473" spans="1:1">
      <c r="A473" s="80" t="s">
        <v>295</v>
      </c>
    </row>
    <row r="474" spans="1:1">
      <c r="A474" s="80" t="s">
        <v>339</v>
      </c>
    </row>
    <row r="475" spans="1:1">
      <c r="A475" s="80" t="s">
        <v>295</v>
      </c>
    </row>
    <row r="476" spans="1:1">
      <c r="A476" s="80" t="s">
        <v>295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296</v>
      </c>
    </row>
    <row r="501" spans="1:1">
      <c r="A501">
        <v>15</v>
      </c>
    </row>
    <row r="502" spans="1:1">
      <c r="A502">
        <v>10</v>
      </c>
    </row>
    <row r="503" spans="1:1">
      <c r="A503">
        <v>49</v>
      </c>
    </row>
    <row r="504" spans="1:1">
      <c r="A504">
        <v>5390</v>
      </c>
    </row>
    <row r="505" spans="1:1">
      <c r="A505">
        <v>3930</v>
      </c>
    </row>
    <row r="506" spans="1:1">
      <c r="A506">
        <v>4755</v>
      </c>
    </row>
    <row r="507" spans="1:1">
      <c r="A507">
        <v>60</v>
      </c>
    </row>
    <row r="508" spans="1:1">
      <c r="A508">
        <v>93</v>
      </c>
    </row>
    <row r="509" spans="1:1">
      <c r="A509">
        <v>1570</v>
      </c>
    </row>
    <row r="510" spans="1:1">
      <c r="A510">
        <v>-933</v>
      </c>
    </row>
    <row r="511" spans="1:1">
      <c r="A511">
        <v>116</v>
      </c>
    </row>
    <row r="512" spans="1:1">
      <c r="A512">
        <v>999</v>
      </c>
    </row>
    <row r="513" spans="1:1">
      <c r="A513">
        <v>999</v>
      </c>
    </row>
    <row r="514" spans="1:1">
      <c r="A514">
        <v>43177</v>
      </c>
    </row>
    <row r="515" spans="1:1">
      <c r="A515">
        <v>37222</v>
      </c>
    </row>
    <row r="516" spans="1:1">
      <c r="A516">
        <v>33240</v>
      </c>
    </row>
    <row r="517" spans="1:1">
      <c r="A517">
        <v>30939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12924</v>
      </c>
    </row>
    <row r="523" spans="1:1">
      <c r="A523">
        <v>5169600</v>
      </c>
    </row>
    <row r="524" spans="1:1">
      <c r="A524">
        <v>0</v>
      </c>
    </row>
    <row r="525" spans="1:1">
      <c r="A525">
        <v>5332620</v>
      </c>
    </row>
    <row r="526" spans="1:1">
      <c r="A526">
        <v>360</v>
      </c>
    </row>
    <row r="527" spans="1:1">
      <c r="A527">
        <v>360</v>
      </c>
    </row>
    <row r="528" spans="1:1">
      <c r="A528">
        <v>340</v>
      </c>
    </row>
    <row r="529" spans="1:1">
      <c r="A529">
        <v>610</v>
      </c>
    </row>
    <row r="530" spans="1:1">
      <c r="A530">
        <v>610</v>
      </c>
    </row>
    <row r="531" spans="1:1">
      <c r="A531">
        <v>520</v>
      </c>
    </row>
    <row r="532" spans="1:1">
      <c r="A532">
        <v>850</v>
      </c>
    </row>
    <row r="533" spans="1:1">
      <c r="A533">
        <v>850</v>
      </c>
    </row>
    <row r="534" spans="1:1">
      <c r="A534">
        <v>740</v>
      </c>
    </row>
    <row r="535" spans="1:1">
      <c r="A535">
        <v>114</v>
      </c>
    </row>
    <row r="536" spans="1:1">
      <c r="A536">
        <v>1000</v>
      </c>
    </row>
    <row r="537" spans="1:1">
      <c r="A537">
        <v>5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12924</v>
      </c>
    </row>
    <row r="543" spans="1:1">
      <c r="A543">
        <v>5169600</v>
      </c>
    </row>
    <row r="544" spans="1:1">
      <c r="A544">
        <v>0</v>
      </c>
    </row>
    <row r="545" spans="1:1">
      <c r="A545">
        <v>5332620</v>
      </c>
    </row>
    <row r="546" spans="1:1">
      <c r="A546">
        <v>360</v>
      </c>
    </row>
    <row r="547" spans="1:1">
      <c r="A547">
        <v>360</v>
      </c>
    </row>
    <row r="548" spans="1:1">
      <c r="A548">
        <v>340</v>
      </c>
    </row>
    <row r="549" spans="1:1">
      <c r="A549">
        <v>610</v>
      </c>
    </row>
    <row r="550" spans="1:1">
      <c r="A550">
        <v>610</v>
      </c>
    </row>
    <row r="551" spans="1:1">
      <c r="A551">
        <v>520</v>
      </c>
    </row>
    <row r="552" spans="1:1">
      <c r="A552">
        <v>850</v>
      </c>
    </row>
    <row r="553" spans="1:1">
      <c r="A553">
        <v>850</v>
      </c>
    </row>
    <row r="554" spans="1:1">
      <c r="A554">
        <v>740</v>
      </c>
    </row>
    <row r="555" spans="1:1">
      <c r="A555">
        <v>114</v>
      </c>
    </row>
    <row r="556" spans="1:1">
      <c r="A556">
        <v>1000</v>
      </c>
    </row>
    <row r="557" spans="1:1">
      <c r="A557">
        <v>5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12924</v>
      </c>
    </row>
    <row r="563" spans="1:1">
      <c r="A563">
        <v>5169600</v>
      </c>
    </row>
    <row r="564" spans="1:1">
      <c r="A564">
        <v>0</v>
      </c>
    </row>
    <row r="565" spans="1:1">
      <c r="A565">
        <v>5332620</v>
      </c>
    </row>
    <row r="566" spans="1:1">
      <c r="A566">
        <v>360</v>
      </c>
    </row>
    <row r="567" spans="1:1">
      <c r="A567">
        <v>360</v>
      </c>
    </row>
    <row r="568" spans="1:1">
      <c r="A568">
        <v>340</v>
      </c>
    </row>
    <row r="569" spans="1:1">
      <c r="A569">
        <v>610</v>
      </c>
    </row>
    <row r="570" spans="1:1">
      <c r="A570">
        <v>610</v>
      </c>
    </row>
    <row r="571" spans="1:1">
      <c r="A571">
        <v>520</v>
      </c>
    </row>
    <row r="572" spans="1:1">
      <c r="A572">
        <v>850</v>
      </c>
    </row>
    <row r="573" spans="1:1">
      <c r="A573">
        <v>850</v>
      </c>
    </row>
    <row r="574" spans="1:1">
      <c r="A574">
        <v>740</v>
      </c>
    </row>
    <row r="575" spans="1:1">
      <c r="A575">
        <v>114</v>
      </c>
    </row>
    <row r="576" spans="1:1">
      <c r="A576">
        <v>1000</v>
      </c>
    </row>
    <row r="577" spans="1:1">
      <c r="A577">
        <v>5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12924</v>
      </c>
    </row>
    <row r="583" spans="1:1">
      <c r="A583">
        <v>5169600</v>
      </c>
    </row>
    <row r="584" spans="1:1">
      <c r="A584">
        <v>0</v>
      </c>
    </row>
    <row r="585" spans="1:1">
      <c r="A585">
        <v>5332620</v>
      </c>
    </row>
    <row r="586" spans="1:1">
      <c r="A586">
        <v>360</v>
      </c>
    </row>
    <row r="587" spans="1:1">
      <c r="A587">
        <v>360</v>
      </c>
    </row>
    <row r="588" spans="1:1">
      <c r="A588">
        <v>340</v>
      </c>
    </row>
    <row r="589" spans="1:1">
      <c r="A589">
        <v>610</v>
      </c>
    </row>
    <row r="590" spans="1:1">
      <c r="A590">
        <v>610</v>
      </c>
    </row>
    <row r="591" spans="1:1">
      <c r="A591">
        <v>520</v>
      </c>
    </row>
    <row r="592" spans="1:1">
      <c r="A592">
        <v>850</v>
      </c>
    </row>
    <row r="593" spans="1:1">
      <c r="A593">
        <v>850</v>
      </c>
    </row>
    <row r="594" spans="1:1">
      <c r="A594">
        <v>740</v>
      </c>
    </row>
    <row r="595" spans="1:1">
      <c r="A595">
        <v>114</v>
      </c>
    </row>
    <row r="596" spans="1:1">
      <c r="A596">
        <v>1000</v>
      </c>
    </row>
    <row r="597" spans="1:1">
      <c r="A597">
        <v>5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12924</v>
      </c>
    </row>
    <row r="603" spans="1:1">
      <c r="A603">
        <v>5169600</v>
      </c>
    </row>
    <row r="604" spans="1:1">
      <c r="A604">
        <v>0</v>
      </c>
    </row>
    <row r="605" spans="1:1">
      <c r="A605">
        <v>5332620</v>
      </c>
    </row>
    <row r="606" spans="1:1">
      <c r="A606">
        <v>360</v>
      </c>
    </row>
    <row r="607" spans="1:1">
      <c r="A607">
        <v>360</v>
      </c>
    </row>
    <row r="608" spans="1:1">
      <c r="A608">
        <v>340</v>
      </c>
    </row>
    <row r="609" spans="1:1">
      <c r="A609">
        <v>610</v>
      </c>
    </row>
    <row r="610" spans="1:1">
      <c r="A610">
        <v>610</v>
      </c>
    </row>
    <row r="611" spans="1:1">
      <c r="A611">
        <v>520</v>
      </c>
    </row>
    <row r="612" spans="1:1">
      <c r="A612">
        <v>850</v>
      </c>
    </row>
    <row r="613" spans="1:1">
      <c r="A613">
        <v>850</v>
      </c>
    </row>
    <row r="614" spans="1:1">
      <c r="A614">
        <v>740</v>
      </c>
    </row>
    <row r="615" spans="1:1">
      <c r="A615">
        <v>114</v>
      </c>
    </row>
    <row r="616" spans="1:1">
      <c r="A616">
        <v>1000</v>
      </c>
    </row>
    <row r="617" spans="1:1">
      <c r="A617">
        <v>5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12924</v>
      </c>
    </row>
    <row r="623" spans="1:1">
      <c r="A623">
        <v>5169600</v>
      </c>
    </row>
    <row r="624" spans="1:1">
      <c r="A624">
        <v>0</v>
      </c>
    </row>
    <row r="625" spans="1:1">
      <c r="A625">
        <v>5332620</v>
      </c>
    </row>
    <row r="626" spans="1:1">
      <c r="A626">
        <v>360</v>
      </c>
    </row>
    <row r="627" spans="1:1">
      <c r="A627">
        <v>360</v>
      </c>
    </row>
    <row r="628" spans="1:1">
      <c r="A628">
        <v>340</v>
      </c>
    </row>
    <row r="629" spans="1:1">
      <c r="A629">
        <v>610</v>
      </c>
    </row>
    <row r="630" spans="1:1">
      <c r="A630">
        <v>610</v>
      </c>
    </row>
    <row r="631" spans="1:1">
      <c r="A631">
        <v>520</v>
      </c>
    </row>
    <row r="632" spans="1:1">
      <c r="A632">
        <v>850</v>
      </c>
    </row>
    <row r="633" spans="1:1">
      <c r="A633">
        <v>850</v>
      </c>
    </row>
    <row r="634" spans="1:1">
      <c r="A634">
        <v>740</v>
      </c>
    </row>
    <row r="635" spans="1:1">
      <c r="A635">
        <v>114</v>
      </c>
    </row>
    <row r="636" spans="1:1">
      <c r="A636">
        <v>1000</v>
      </c>
    </row>
    <row r="637" spans="1:1">
      <c r="A637">
        <v>5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12924</v>
      </c>
    </row>
    <row r="643" spans="1:1">
      <c r="A643">
        <v>5169600</v>
      </c>
    </row>
    <row r="644" spans="1:1">
      <c r="A644">
        <v>0</v>
      </c>
    </row>
    <row r="645" spans="1:1">
      <c r="A645">
        <v>5332620</v>
      </c>
    </row>
    <row r="646" spans="1:1">
      <c r="A646">
        <v>360</v>
      </c>
    </row>
    <row r="647" spans="1:1">
      <c r="A647">
        <v>360</v>
      </c>
    </row>
    <row r="648" spans="1:1">
      <c r="A648">
        <v>340</v>
      </c>
    </row>
    <row r="649" spans="1:1">
      <c r="A649">
        <v>610</v>
      </c>
    </row>
    <row r="650" spans="1:1">
      <c r="A650">
        <v>610</v>
      </c>
    </row>
    <row r="651" spans="1:1">
      <c r="A651">
        <v>520</v>
      </c>
    </row>
    <row r="652" spans="1:1">
      <c r="A652">
        <v>850</v>
      </c>
    </row>
    <row r="653" spans="1:1">
      <c r="A653">
        <v>850</v>
      </c>
    </row>
    <row r="654" spans="1:1">
      <c r="A654">
        <v>740</v>
      </c>
    </row>
    <row r="655" spans="1:1">
      <c r="A655">
        <v>114</v>
      </c>
    </row>
    <row r="656" spans="1:1">
      <c r="A656">
        <v>1000</v>
      </c>
    </row>
    <row r="657" spans="1:1">
      <c r="A657">
        <v>5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12924</v>
      </c>
    </row>
    <row r="663" spans="1:1">
      <c r="A663">
        <v>5169600</v>
      </c>
    </row>
    <row r="664" spans="1:1">
      <c r="A664">
        <v>0</v>
      </c>
    </row>
    <row r="665" spans="1:1">
      <c r="A665">
        <v>5332620</v>
      </c>
    </row>
    <row r="666" spans="1:1">
      <c r="A666">
        <v>360</v>
      </c>
    </row>
    <row r="667" spans="1:1">
      <c r="A667">
        <v>360</v>
      </c>
    </row>
    <row r="668" spans="1:1">
      <c r="A668">
        <v>340</v>
      </c>
    </row>
    <row r="669" spans="1:1">
      <c r="A669">
        <v>610</v>
      </c>
    </row>
    <row r="670" spans="1:1">
      <c r="A670">
        <v>610</v>
      </c>
    </row>
    <row r="671" spans="1:1">
      <c r="A671">
        <v>520</v>
      </c>
    </row>
    <row r="672" spans="1:1">
      <c r="A672">
        <v>850</v>
      </c>
    </row>
    <row r="673" spans="1:1">
      <c r="A673">
        <v>850</v>
      </c>
    </row>
    <row r="674" spans="1:1">
      <c r="A674">
        <v>740</v>
      </c>
    </row>
    <row r="675" spans="1:1">
      <c r="A675">
        <v>114</v>
      </c>
    </row>
    <row r="676" spans="1:1">
      <c r="A676">
        <v>1000</v>
      </c>
    </row>
    <row r="677" spans="1:1">
      <c r="A677">
        <v>5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340</v>
      </c>
    </row>
    <row r="682" spans="1:1">
      <c r="A682" t="s">
        <v>341</v>
      </c>
    </row>
    <row r="683" spans="1:1">
      <c r="A683" t="s">
        <v>1</v>
      </c>
    </row>
    <row r="684" spans="1:1">
      <c r="A684" t="s">
        <v>1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3252696</v>
      </c>
    </row>
    <row r="703" spans="1:1">
      <c r="A703">
        <v>377216</v>
      </c>
    </row>
    <row r="704" spans="1:1">
      <c r="A704">
        <v>1391219</v>
      </c>
    </row>
    <row r="705" spans="1:1">
      <c r="A705">
        <v>447182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690908</v>
      </c>
    </row>
    <row r="710" spans="1:1">
      <c r="A710">
        <v>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4000000</v>
      </c>
    </row>
    <row r="715" spans="1:1">
      <c r="A715">
        <v>0</v>
      </c>
    </row>
    <row r="716" spans="1:1">
      <c r="A716">
        <v>777405</v>
      </c>
    </row>
    <row r="717" spans="1:1">
      <c r="A717">
        <v>4777405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3252696</v>
      </c>
    </row>
    <row r="723" spans="1:1">
      <c r="A723">
        <v>377216</v>
      </c>
    </row>
    <row r="724" spans="1:1">
      <c r="A724">
        <v>1391219</v>
      </c>
    </row>
    <row r="725" spans="1:1">
      <c r="A725">
        <v>447182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690908</v>
      </c>
    </row>
    <row r="730" spans="1:1">
      <c r="A730">
        <v>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4000000</v>
      </c>
    </row>
    <row r="735" spans="1:1">
      <c r="A735">
        <v>0</v>
      </c>
    </row>
    <row r="736" spans="1:1">
      <c r="A736">
        <v>777405</v>
      </c>
    </row>
    <row r="737" spans="1:1">
      <c r="A737">
        <v>4777405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3252696</v>
      </c>
    </row>
    <row r="743" spans="1:1">
      <c r="A743">
        <v>377216</v>
      </c>
    </row>
    <row r="744" spans="1:1">
      <c r="A744">
        <v>1391219</v>
      </c>
    </row>
    <row r="745" spans="1:1">
      <c r="A745">
        <v>447182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690908</v>
      </c>
    </row>
    <row r="750" spans="1:1">
      <c r="A750">
        <v>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4000000</v>
      </c>
    </row>
    <row r="755" spans="1:1">
      <c r="A755">
        <v>0</v>
      </c>
    </row>
    <row r="756" spans="1:1">
      <c r="A756">
        <v>777405</v>
      </c>
    </row>
    <row r="757" spans="1:1">
      <c r="A757">
        <v>4777405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3252696</v>
      </c>
    </row>
    <row r="763" spans="1:1">
      <c r="A763">
        <v>377216</v>
      </c>
    </row>
    <row r="764" spans="1:1">
      <c r="A764">
        <v>1391219</v>
      </c>
    </row>
    <row r="765" spans="1:1">
      <c r="A765">
        <v>447182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690908</v>
      </c>
    </row>
    <row r="770" spans="1:1">
      <c r="A770">
        <v>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4000000</v>
      </c>
    </row>
    <row r="775" spans="1:1">
      <c r="A775">
        <v>0</v>
      </c>
    </row>
    <row r="776" spans="1:1">
      <c r="A776">
        <v>777405</v>
      </c>
    </row>
    <row r="777" spans="1:1">
      <c r="A777">
        <v>4777405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3252696</v>
      </c>
    </row>
    <row r="783" spans="1:1">
      <c r="A783">
        <v>377216</v>
      </c>
    </row>
    <row r="784" spans="1:1">
      <c r="A784">
        <v>1391219</v>
      </c>
    </row>
    <row r="785" spans="1:1">
      <c r="A785">
        <v>447182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690908</v>
      </c>
    </row>
    <row r="790" spans="1:1">
      <c r="A790">
        <v>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4000000</v>
      </c>
    </row>
    <row r="795" spans="1:1">
      <c r="A795">
        <v>0</v>
      </c>
    </row>
    <row r="796" spans="1:1">
      <c r="A796">
        <v>777405</v>
      </c>
    </row>
    <row r="797" spans="1:1">
      <c r="A797">
        <v>4777405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3252696</v>
      </c>
    </row>
    <row r="803" spans="1:1">
      <c r="A803">
        <v>377216</v>
      </c>
    </row>
    <row r="804" spans="1:1">
      <c r="A804">
        <v>1391219</v>
      </c>
    </row>
    <row r="805" spans="1:1">
      <c r="A805">
        <v>447182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690908</v>
      </c>
    </row>
    <row r="810" spans="1:1">
      <c r="A810">
        <v>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4000000</v>
      </c>
    </row>
    <row r="815" spans="1:1">
      <c r="A815">
        <v>0</v>
      </c>
    </row>
    <row r="816" spans="1:1">
      <c r="A816">
        <v>777405</v>
      </c>
    </row>
    <row r="817" spans="1:1">
      <c r="A817">
        <v>4777405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3252696</v>
      </c>
    </row>
    <row r="823" spans="1:1">
      <c r="A823">
        <v>377216</v>
      </c>
    </row>
    <row r="824" spans="1:1">
      <c r="A824">
        <v>1391219</v>
      </c>
    </row>
    <row r="825" spans="1:1">
      <c r="A825">
        <v>447182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690908</v>
      </c>
    </row>
    <row r="830" spans="1:1">
      <c r="A830">
        <v>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4000000</v>
      </c>
    </row>
    <row r="835" spans="1:1">
      <c r="A835">
        <v>0</v>
      </c>
    </row>
    <row r="836" spans="1:1">
      <c r="A836">
        <v>777405</v>
      </c>
    </row>
    <row r="837" spans="1:1">
      <c r="A837">
        <v>4777405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3252696</v>
      </c>
    </row>
    <row r="843" spans="1:1">
      <c r="A843">
        <v>377216</v>
      </c>
    </row>
    <row r="844" spans="1:1">
      <c r="A844">
        <v>1391219</v>
      </c>
    </row>
    <row r="845" spans="1:1">
      <c r="A845">
        <v>447182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690908</v>
      </c>
    </row>
    <row r="850" spans="1:1">
      <c r="A850">
        <v>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4000000</v>
      </c>
    </row>
    <row r="855" spans="1:1">
      <c r="A855">
        <v>0</v>
      </c>
    </row>
    <row r="856" spans="1:1">
      <c r="A856">
        <v>777405</v>
      </c>
    </row>
    <row r="857" spans="1:1">
      <c r="A857">
        <v>4777405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299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2026-04-07T15:15:26Z</dcterms:modified>
</cp:coreProperties>
</file>