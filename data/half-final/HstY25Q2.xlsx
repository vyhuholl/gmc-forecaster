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ORSI-8\Desktop\Полные истории компаний\15С1\"/>
    </mc:Choice>
  </mc:AlternateContent>
  <xr:revisionPtr revIDLastSave="0" documentId="13_ncr:1_{D95A0ABD-6B8B-488C-B64B-3B1C6C4130FE}" xr6:coauthVersionLast="47" xr6:coauthVersionMax="47" xr10:uidLastSave="{00000000-0000-0000-0000-000000000000}"/>
  <bookViews>
    <workbookView xWindow="22932" yWindow="-108" windowWidth="30936" windowHeight="16896" tabRatio="612" xr2:uid="{00000000-000D-0000-FFFF-FFFF00000000}"/>
  </bookViews>
  <sheets>
    <sheet name="Ваши решения" sheetId="1" r:id="rId1"/>
    <sheet name="Ресурсы и продукты" sheetId="2" r:id="rId2"/>
    <sheet name="Финансовая отчетность" sheetId="3" r:id="rId3"/>
    <sheet name="Информация о группе" sheetId="4" r:id="rId4"/>
    <sheet name="W" sheetId="5" r:id="rId5"/>
  </sheets>
  <definedNames>
    <definedName name="_W012133" localSheetId="4">W!$A$1:$B$865</definedName>
    <definedName name="WHStest_6">W!#REF!</definedName>
    <definedName name="_xlnm.Print_Area" localSheetId="0">'Ваши решения'!$A$1:$Y$38</definedName>
    <definedName name="_xlnm.Print_Area" localSheetId="3">'Информация о группе'!$A$1:$N$114</definedName>
    <definedName name="_xlnm.Print_Area" localSheetId="1">'Ресурсы и продукты'!$A$1:$AA$48</definedName>
    <definedName name="_xlnm.Print_Area" localSheetId="2">'Финансовая отчетность'!$A$1:$Y$39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9" i="3" l="1"/>
  <c r="N61" i="4" l="1"/>
  <c r="L61" i="4"/>
  <c r="J61" i="4"/>
  <c r="B4" i="1"/>
  <c r="B5" i="1"/>
  <c r="B6" i="1"/>
  <c r="B3" i="1"/>
  <c r="W35" i="1"/>
  <c r="P35" i="1"/>
  <c r="K35" i="1"/>
  <c r="J35" i="1"/>
  <c r="I35" i="1"/>
  <c r="H35" i="1"/>
  <c r="G35" i="1"/>
  <c r="F35" i="1"/>
  <c r="W32" i="1"/>
  <c r="Q32" i="1"/>
  <c r="P32" i="1"/>
  <c r="K32" i="1"/>
  <c r="J32" i="1"/>
  <c r="I32" i="1"/>
  <c r="H32" i="1"/>
  <c r="G32" i="1"/>
  <c r="F32" i="1"/>
  <c r="X31" i="1"/>
  <c r="W31" i="1"/>
  <c r="Q31" i="1"/>
  <c r="P31" i="1"/>
  <c r="J31" i="1"/>
  <c r="H31" i="1"/>
  <c r="F31" i="1"/>
  <c r="X30" i="1"/>
  <c r="W30" i="1"/>
  <c r="Q30" i="1"/>
  <c r="P30" i="1"/>
  <c r="J30" i="1"/>
  <c r="H30" i="1"/>
  <c r="F30" i="1"/>
  <c r="X29" i="1"/>
  <c r="W29" i="1"/>
  <c r="Q29" i="1"/>
  <c r="P29" i="1"/>
  <c r="J29" i="1"/>
  <c r="H29" i="1"/>
  <c r="F29" i="1"/>
  <c r="X26" i="1"/>
  <c r="W26" i="1"/>
  <c r="Q26" i="1"/>
  <c r="P26" i="1"/>
  <c r="K26" i="1"/>
  <c r="J26" i="1"/>
  <c r="I26" i="1"/>
  <c r="H26" i="1"/>
  <c r="G26" i="1"/>
  <c r="F26" i="1"/>
  <c r="Q25" i="1"/>
  <c r="P25" i="1"/>
  <c r="K25" i="1"/>
  <c r="J25" i="1"/>
  <c r="I25" i="1"/>
  <c r="H25" i="1"/>
  <c r="G25" i="1"/>
  <c r="F25" i="1"/>
  <c r="X24" i="1"/>
  <c r="W24" i="1"/>
  <c r="Q24" i="1"/>
  <c r="P24" i="1"/>
  <c r="K24" i="1"/>
  <c r="J24" i="1"/>
  <c r="I24" i="1"/>
  <c r="H24" i="1"/>
  <c r="G24" i="1"/>
  <c r="F24" i="1"/>
  <c r="W21" i="1"/>
  <c r="P21" i="1"/>
  <c r="K21" i="1"/>
  <c r="J21" i="1"/>
  <c r="I21" i="1"/>
  <c r="H21" i="1"/>
  <c r="G21" i="1"/>
  <c r="F21" i="1"/>
  <c r="W20" i="1"/>
  <c r="P20" i="1"/>
  <c r="K20" i="1"/>
  <c r="J20" i="1"/>
  <c r="I20" i="1"/>
  <c r="H20" i="1"/>
  <c r="G20" i="1"/>
  <c r="F20" i="1"/>
  <c r="W19" i="1"/>
  <c r="T19" i="1"/>
  <c r="P19" i="1"/>
  <c r="K19" i="1"/>
  <c r="J19" i="1"/>
  <c r="I19" i="1"/>
  <c r="H19" i="1"/>
  <c r="G19" i="1"/>
  <c r="F19" i="1"/>
  <c r="W16" i="1"/>
  <c r="U16" i="1"/>
  <c r="T16" i="1"/>
  <c r="J16" i="1"/>
  <c r="H16" i="1"/>
  <c r="F16" i="1"/>
  <c r="E16" i="1"/>
  <c r="W15" i="1"/>
  <c r="U15" i="1"/>
  <c r="T15" i="1"/>
  <c r="Q15" i="1"/>
  <c r="P15" i="1"/>
  <c r="J15" i="1"/>
  <c r="H15" i="1"/>
  <c r="F15" i="1"/>
  <c r="E15" i="1"/>
  <c r="W14" i="1"/>
  <c r="U14" i="1"/>
  <c r="T14" i="1"/>
  <c r="Q14" i="1"/>
  <c r="P14" i="1"/>
  <c r="J14" i="1"/>
  <c r="H14" i="1"/>
  <c r="F14" i="1"/>
  <c r="E14" i="1"/>
  <c r="S9" i="1"/>
  <c r="P9" i="1"/>
  <c r="O5" i="1"/>
  <c r="L5" i="1"/>
  <c r="W3" i="1"/>
  <c r="Y45" i="2"/>
  <c r="W45" i="2"/>
  <c r="U45" i="2"/>
  <c r="G45" i="2"/>
  <c r="Y44" i="2"/>
  <c r="W44" i="2"/>
  <c r="U44" i="2"/>
  <c r="G44" i="2"/>
  <c r="Y43" i="2"/>
  <c r="W43" i="2"/>
  <c r="U43" i="2"/>
  <c r="G43" i="2"/>
  <c r="Y42" i="2"/>
  <c r="W42" i="2"/>
  <c r="U42" i="2"/>
  <c r="G42" i="2"/>
  <c r="Y39" i="2"/>
  <c r="W39" i="2"/>
  <c r="U39" i="2"/>
  <c r="G39" i="2"/>
  <c r="G38" i="2"/>
  <c r="O37" i="2"/>
  <c r="N37" i="2"/>
  <c r="M37" i="2"/>
  <c r="G37" i="2"/>
  <c r="Z36" i="2"/>
  <c r="Y36" i="2"/>
  <c r="X36" i="2"/>
  <c r="W36" i="2"/>
  <c r="V36" i="2"/>
  <c r="U36" i="2"/>
  <c r="O36" i="2"/>
  <c r="N36" i="2"/>
  <c r="M36" i="2"/>
  <c r="G35" i="2"/>
  <c r="G34" i="2"/>
  <c r="Y33" i="2"/>
  <c r="W33" i="2"/>
  <c r="U33" i="2"/>
  <c r="H33" i="2"/>
  <c r="G33" i="2"/>
  <c r="Y32" i="2"/>
  <c r="W32" i="2"/>
  <c r="U32" i="2"/>
  <c r="G32" i="2"/>
  <c r="Y31" i="2"/>
  <c r="W31" i="2"/>
  <c r="U31" i="2"/>
  <c r="G31" i="2"/>
  <c r="O30" i="2"/>
  <c r="O29" i="2" s="1"/>
  <c r="N30" i="2"/>
  <c r="M30" i="2"/>
  <c r="G30" i="2"/>
  <c r="Y28" i="2"/>
  <c r="W28" i="2"/>
  <c r="U28" i="2"/>
  <c r="Y27" i="2"/>
  <c r="W27" i="2"/>
  <c r="U27" i="2"/>
  <c r="N27" i="2"/>
  <c r="M27" i="2"/>
  <c r="M29" i="2" s="1"/>
  <c r="G27" i="2"/>
  <c r="O26" i="2"/>
  <c r="N26" i="2"/>
  <c r="M26" i="2"/>
  <c r="G25" i="2"/>
  <c r="N44" i="2" s="1"/>
  <c r="Y24" i="2"/>
  <c r="W24" i="2"/>
  <c r="U24" i="2"/>
  <c r="H24" i="2"/>
  <c r="G24" i="2"/>
  <c r="Y23" i="2"/>
  <c r="W23" i="2"/>
  <c r="U23" i="2"/>
  <c r="G23" i="2"/>
  <c r="Y22" i="2"/>
  <c r="W22" i="2"/>
  <c r="U22" i="2"/>
  <c r="G21" i="2"/>
  <c r="O20" i="2"/>
  <c r="G20" i="2"/>
  <c r="Y19" i="2"/>
  <c r="W19" i="2"/>
  <c r="U19" i="2"/>
  <c r="G19" i="2"/>
  <c r="Y18" i="2"/>
  <c r="W18" i="2"/>
  <c r="U18" i="2"/>
  <c r="O18" i="2"/>
  <c r="G18" i="2"/>
  <c r="Y17" i="2"/>
  <c r="W17" i="2"/>
  <c r="U17" i="2"/>
  <c r="P17" i="2"/>
  <c r="O17" i="2"/>
  <c r="O16" i="2"/>
  <c r="Y14" i="2"/>
  <c r="W14" i="2"/>
  <c r="U14" i="2"/>
  <c r="G14" i="2"/>
  <c r="Y13" i="2"/>
  <c r="W13" i="2"/>
  <c r="U13" i="2"/>
  <c r="G13" i="2"/>
  <c r="Y12" i="2"/>
  <c r="W12" i="2"/>
  <c r="U12" i="2"/>
  <c r="O12" i="2"/>
  <c r="N12" i="2"/>
  <c r="G12" i="2"/>
  <c r="O10" i="2"/>
  <c r="N10" i="2"/>
  <c r="G10" i="2"/>
  <c r="Z9" i="2"/>
  <c r="Y9" i="2"/>
  <c r="X9" i="2"/>
  <c r="W9" i="2"/>
  <c r="V9" i="2"/>
  <c r="U9" i="2"/>
  <c r="N9" i="2"/>
  <c r="Y8" i="2"/>
  <c r="W8" i="2"/>
  <c r="U8" i="2"/>
  <c r="O8" i="2"/>
  <c r="N8" i="2"/>
  <c r="Y7" i="2"/>
  <c r="W7" i="2"/>
  <c r="U7" i="2"/>
  <c r="O7" i="2"/>
  <c r="N7" i="2"/>
  <c r="G7" i="2"/>
  <c r="Y6" i="2"/>
  <c r="W6" i="2"/>
  <c r="U6" i="2"/>
  <c r="X1" i="2"/>
  <c r="U1" i="2"/>
  <c r="H1" i="2"/>
  <c r="E1" i="2"/>
  <c r="R36" i="3"/>
  <c r="X35" i="3"/>
  <c r="X34" i="3"/>
  <c r="R34" i="3"/>
  <c r="R35" i="3" s="1"/>
  <c r="L34" i="3"/>
  <c r="F34" i="3"/>
  <c r="R33" i="3"/>
  <c r="F33" i="3"/>
  <c r="X32" i="3"/>
  <c r="L32" i="3"/>
  <c r="X30" i="3"/>
  <c r="X29" i="3"/>
  <c r="L29" i="3"/>
  <c r="F29" i="3"/>
  <c r="R28" i="3"/>
  <c r="L28" i="3"/>
  <c r="F28" i="3"/>
  <c r="X26" i="3"/>
  <c r="R26" i="3"/>
  <c r="L26" i="3"/>
  <c r="X25" i="3"/>
  <c r="R25" i="3"/>
  <c r="L25" i="3"/>
  <c r="X24" i="3"/>
  <c r="R24" i="3"/>
  <c r="F24" i="3"/>
  <c r="X23" i="3"/>
  <c r="L23" i="3"/>
  <c r="F23" i="3"/>
  <c r="X22" i="3"/>
  <c r="L22" i="3"/>
  <c r="F22" i="3"/>
  <c r="L21" i="3"/>
  <c r="F21" i="3"/>
  <c r="L20" i="3"/>
  <c r="L24" i="3" s="1"/>
  <c r="F20" i="3"/>
  <c r="L19" i="3"/>
  <c r="F19" i="3"/>
  <c r="X18" i="3"/>
  <c r="R18" i="3"/>
  <c r="L18" i="3"/>
  <c r="F18" i="3"/>
  <c r="X17" i="3"/>
  <c r="R17" i="3"/>
  <c r="L17" i="3"/>
  <c r="F17" i="3"/>
  <c r="X16" i="3"/>
  <c r="R16" i="3"/>
  <c r="L16" i="3"/>
  <c r="F16" i="3"/>
  <c r="R15" i="3"/>
  <c r="R20" i="3" s="1"/>
  <c r="L15" i="3"/>
  <c r="F15" i="3"/>
  <c r="L14" i="3"/>
  <c r="F14" i="3"/>
  <c r="L13" i="3"/>
  <c r="F13" i="3"/>
  <c r="X12" i="3"/>
  <c r="L12" i="3"/>
  <c r="F12" i="3"/>
  <c r="X11" i="3"/>
  <c r="R11" i="3"/>
  <c r="L11" i="3"/>
  <c r="F11" i="3"/>
  <c r="X10" i="3"/>
  <c r="R10" i="3"/>
  <c r="R12" i="3" s="1"/>
  <c r="L10" i="3"/>
  <c r="F10" i="3"/>
  <c r="X9" i="3"/>
  <c r="R9" i="3"/>
  <c r="F9" i="3"/>
  <c r="L8" i="3"/>
  <c r="F8" i="3"/>
  <c r="X1" i="3"/>
  <c r="V1" i="3"/>
  <c r="I1" i="3"/>
  <c r="E1" i="3"/>
  <c r="M110" i="4"/>
  <c r="L110" i="4"/>
  <c r="K110" i="4"/>
  <c r="J110" i="4"/>
  <c r="I110" i="4"/>
  <c r="H110" i="4"/>
  <c r="G110" i="4"/>
  <c r="F110" i="4"/>
  <c r="M109" i="4"/>
  <c r="L109" i="4"/>
  <c r="K109" i="4"/>
  <c r="J109" i="4"/>
  <c r="I109" i="4"/>
  <c r="H109" i="4"/>
  <c r="G109" i="4"/>
  <c r="F109" i="4"/>
  <c r="M108" i="4"/>
  <c r="L108" i="4"/>
  <c r="K108" i="4"/>
  <c r="J108" i="4"/>
  <c r="I108" i="4"/>
  <c r="H108" i="4"/>
  <c r="G108" i="4"/>
  <c r="F108" i="4"/>
  <c r="M107" i="4"/>
  <c r="L107" i="4"/>
  <c r="K107" i="4"/>
  <c r="J107" i="4"/>
  <c r="I107" i="4"/>
  <c r="H107" i="4"/>
  <c r="G107" i="4"/>
  <c r="F107" i="4"/>
  <c r="M105" i="4"/>
  <c r="L105" i="4"/>
  <c r="K105" i="4"/>
  <c r="J105" i="4"/>
  <c r="I105" i="4"/>
  <c r="H105" i="4"/>
  <c r="G105" i="4"/>
  <c r="F105" i="4"/>
  <c r="M104" i="4"/>
  <c r="L104" i="4"/>
  <c r="K104" i="4"/>
  <c r="J104" i="4"/>
  <c r="I104" i="4"/>
  <c r="H104" i="4"/>
  <c r="G104" i="4"/>
  <c r="F104" i="4"/>
  <c r="M103" i="4"/>
  <c r="L103" i="4"/>
  <c r="K103" i="4"/>
  <c r="J103" i="4"/>
  <c r="I103" i="4"/>
  <c r="H103" i="4"/>
  <c r="G103" i="4"/>
  <c r="F103" i="4"/>
  <c r="K102" i="4"/>
  <c r="M99" i="4"/>
  <c r="L99" i="4"/>
  <c r="K99" i="4"/>
  <c r="J99" i="4"/>
  <c r="I99" i="4"/>
  <c r="H99" i="4"/>
  <c r="G99" i="4"/>
  <c r="F99" i="4"/>
  <c r="M98" i="4"/>
  <c r="L98" i="4"/>
  <c r="K98" i="4"/>
  <c r="J98" i="4"/>
  <c r="I98" i="4"/>
  <c r="H98" i="4"/>
  <c r="G98" i="4"/>
  <c r="F98" i="4"/>
  <c r="M97" i="4"/>
  <c r="L97" i="4"/>
  <c r="K97" i="4"/>
  <c r="J97" i="4"/>
  <c r="I97" i="4"/>
  <c r="H97" i="4"/>
  <c r="G97" i="4"/>
  <c r="F97" i="4"/>
  <c r="M96" i="4"/>
  <c r="L96" i="4"/>
  <c r="K96" i="4"/>
  <c r="J96" i="4"/>
  <c r="I96" i="4"/>
  <c r="H96" i="4"/>
  <c r="G96" i="4"/>
  <c r="F96" i="4"/>
  <c r="M95" i="4"/>
  <c r="L95" i="4"/>
  <c r="K95" i="4"/>
  <c r="J95" i="4"/>
  <c r="I95" i="4"/>
  <c r="H95" i="4"/>
  <c r="G95" i="4"/>
  <c r="F95" i="4"/>
  <c r="M94" i="4"/>
  <c r="L94" i="4"/>
  <c r="K94" i="4"/>
  <c r="J94" i="4"/>
  <c r="I94" i="4"/>
  <c r="H94" i="4"/>
  <c r="G94" i="4"/>
  <c r="F94" i="4"/>
  <c r="M93" i="4"/>
  <c r="L93" i="4"/>
  <c r="K93" i="4"/>
  <c r="J93" i="4"/>
  <c r="I93" i="4"/>
  <c r="H93" i="4"/>
  <c r="G93" i="4"/>
  <c r="F93" i="4"/>
  <c r="M92" i="4"/>
  <c r="L92" i="4"/>
  <c r="K92" i="4"/>
  <c r="J92" i="4"/>
  <c r="I92" i="4"/>
  <c r="H92" i="4"/>
  <c r="G92" i="4"/>
  <c r="F92" i="4"/>
  <c r="M91" i="4"/>
  <c r="L91" i="4"/>
  <c r="K91" i="4"/>
  <c r="J91" i="4"/>
  <c r="I91" i="4"/>
  <c r="H91" i="4"/>
  <c r="G91" i="4"/>
  <c r="F91" i="4"/>
  <c r="M89" i="4"/>
  <c r="L89" i="4"/>
  <c r="K89" i="4"/>
  <c r="J89" i="4"/>
  <c r="I89" i="4"/>
  <c r="H89" i="4"/>
  <c r="G89" i="4"/>
  <c r="F89" i="4"/>
  <c r="K88" i="4"/>
  <c r="M82" i="4"/>
  <c r="L82" i="4"/>
  <c r="K82" i="4"/>
  <c r="J82" i="4"/>
  <c r="I82" i="4"/>
  <c r="H82" i="4"/>
  <c r="G82" i="4"/>
  <c r="F82" i="4"/>
  <c r="M81" i="4"/>
  <c r="L81" i="4"/>
  <c r="K81" i="4"/>
  <c r="J81" i="4"/>
  <c r="I81" i="4"/>
  <c r="I83" i="4" s="1"/>
  <c r="H81" i="4"/>
  <c r="G81" i="4"/>
  <c r="F81" i="4"/>
  <c r="F83" i="4" s="1"/>
  <c r="M80" i="4"/>
  <c r="L80" i="4"/>
  <c r="K80" i="4"/>
  <c r="J80" i="4"/>
  <c r="I80" i="4"/>
  <c r="H80" i="4"/>
  <c r="G80" i="4"/>
  <c r="F80" i="4"/>
  <c r="M77" i="4"/>
  <c r="L77" i="4"/>
  <c r="K77" i="4"/>
  <c r="J77" i="4"/>
  <c r="I77" i="4"/>
  <c r="H77" i="4"/>
  <c r="G77" i="4"/>
  <c r="F77" i="4"/>
  <c r="M75" i="4"/>
  <c r="L75" i="4"/>
  <c r="K75" i="4"/>
  <c r="J75" i="4"/>
  <c r="I75" i="4"/>
  <c r="H75" i="4"/>
  <c r="G75" i="4"/>
  <c r="F75" i="4"/>
  <c r="M74" i="4"/>
  <c r="L74" i="4"/>
  <c r="K74" i="4"/>
  <c r="J74" i="4"/>
  <c r="I74" i="4"/>
  <c r="H74" i="4"/>
  <c r="G74" i="4"/>
  <c r="F74" i="4"/>
  <c r="M73" i="4"/>
  <c r="L73" i="4"/>
  <c r="K73" i="4"/>
  <c r="J73" i="4"/>
  <c r="I73" i="4"/>
  <c r="H73" i="4"/>
  <c r="G73" i="4"/>
  <c r="F73" i="4"/>
  <c r="M70" i="4"/>
  <c r="L70" i="4"/>
  <c r="K70" i="4"/>
  <c r="J70" i="4"/>
  <c r="I70" i="4"/>
  <c r="H70" i="4"/>
  <c r="G70" i="4"/>
  <c r="F70" i="4"/>
  <c r="M69" i="4"/>
  <c r="L69" i="4"/>
  <c r="K69" i="4"/>
  <c r="J69" i="4"/>
  <c r="I69" i="4"/>
  <c r="H69" i="4"/>
  <c r="G69" i="4"/>
  <c r="F69" i="4"/>
  <c r="M68" i="4"/>
  <c r="L68" i="4"/>
  <c r="K68" i="4"/>
  <c r="J68" i="4"/>
  <c r="I68" i="4"/>
  <c r="H68" i="4"/>
  <c r="G68" i="4"/>
  <c r="F68" i="4"/>
  <c r="M67" i="4"/>
  <c r="L67" i="4"/>
  <c r="K67" i="4"/>
  <c r="J67" i="4"/>
  <c r="I67" i="4"/>
  <c r="H67" i="4"/>
  <c r="G67" i="4"/>
  <c r="F67" i="4"/>
  <c r="M65" i="4"/>
  <c r="L65" i="4"/>
  <c r="K65" i="4"/>
  <c r="J65" i="4"/>
  <c r="I65" i="4"/>
  <c r="H65" i="4"/>
  <c r="G65" i="4"/>
  <c r="F65" i="4"/>
  <c r="M55" i="4"/>
  <c r="L55" i="4"/>
  <c r="K55" i="4"/>
  <c r="J55" i="4"/>
  <c r="I55" i="4"/>
  <c r="H55" i="4"/>
  <c r="G55" i="4"/>
  <c r="F55" i="4"/>
  <c r="M54" i="4"/>
  <c r="L54" i="4"/>
  <c r="K54" i="4"/>
  <c r="J54" i="4"/>
  <c r="I54" i="4"/>
  <c r="H54" i="4"/>
  <c r="G54" i="4"/>
  <c r="F54" i="4"/>
  <c r="M53" i="4"/>
  <c r="L53" i="4"/>
  <c r="K53" i="4"/>
  <c r="J53" i="4"/>
  <c r="I53" i="4"/>
  <c r="H53" i="4"/>
  <c r="G53" i="4"/>
  <c r="F53" i="4"/>
  <c r="M51" i="4"/>
  <c r="L51" i="4"/>
  <c r="K51" i="4"/>
  <c r="J51" i="4"/>
  <c r="I51" i="4"/>
  <c r="H51" i="4"/>
  <c r="G51" i="4"/>
  <c r="F51" i="4"/>
  <c r="M50" i="4"/>
  <c r="L50" i="4"/>
  <c r="K50" i="4"/>
  <c r="J50" i="4"/>
  <c r="I50" i="4"/>
  <c r="H50" i="4"/>
  <c r="G50" i="4"/>
  <c r="F50" i="4"/>
  <c r="M49" i="4"/>
  <c r="L49" i="4"/>
  <c r="K49" i="4"/>
  <c r="J49" i="4"/>
  <c r="I49" i="4"/>
  <c r="H49" i="4"/>
  <c r="G49" i="4"/>
  <c r="F49" i="4"/>
  <c r="M48" i="4"/>
  <c r="L48" i="4"/>
  <c r="K48" i="4"/>
  <c r="J48" i="4"/>
  <c r="I48" i="4"/>
  <c r="H48" i="4"/>
  <c r="G48" i="4"/>
  <c r="F48" i="4"/>
  <c r="M47" i="4"/>
  <c r="L47" i="4"/>
  <c r="K47" i="4"/>
  <c r="J47" i="4"/>
  <c r="I47" i="4"/>
  <c r="H47" i="4"/>
  <c r="G47" i="4"/>
  <c r="F47" i="4"/>
  <c r="M46" i="4"/>
  <c r="L46" i="4"/>
  <c r="K46" i="4"/>
  <c r="J46" i="4"/>
  <c r="I46" i="4"/>
  <c r="H46" i="4"/>
  <c r="G46" i="4"/>
  <c r="F46" i="4"/>
  <c r="M45" i="4"/>
  <c r="L45" i="4"/>
  <c r="K45" i="4"/>
  <c r="J45" i="4"/>
  <c r="I45" i="4"/>
  <c r="H45" i="4"/>
  <c r="G45" i="4"/>
  <c r="F45" i="4"/>
  <c r="M44" i="4"/>
  <c r="L44" i="4"/>
  <c r="K44" i="4"/>
  <c r="J44" i="4"/>
  <c r="I44" i="4"/>
  <c r="H44" i="4"/>
  <c r="G44" i="4"/>
  <c r="F44" i="4"/>
  <c r="M43" i="4"/>
  <c r="L43" i="4"/>
  <c r="K43" i="4"/>
  <c r="J43" i="4"/>
  <c r="I43" i="4"/>
  <c r="H43" i="4"/>
  <c r="G43" i="4"/>
  <c r="F43" i="4"/>
  <c r="M39" i="4"/>
  <c r="L39" i="4"/>
  <c r="K39" i="4"/>
  <c r="J39" i="4"/>
  <c r="I39" i="4"/>
  <c r="H39" i="4"/>
  <c r="G39" i="4"/>
  <c r="F39" i="4"/>
  <c r="M38" i="4"/>
  <c r="L38" i="4"/>
  <c r="K38" i="4"/>
  <c r="J38" i="4"/>
  <c r="I38" i="4"/>
  <c r="H38" i="4"/>
  <c r="G38" i="4"/>
  <c r="F38" i="4"/>
  <c r="M36" i="4"/>
  <c r="L36" i="4"/>
  <c r="K36" i="4"/>
  <c r="J36" i="4"/>
  <c r="I36" i="4"/>
  <c r="H36" i="4"/>
  <c r="G36" i="4"/>
  <c r="F36" i="4"/>
  <c r="M35" i="4"/>
  <c r="L35" i="4"/>
  <c r="K35" i="4"/>
  <c r="J35" i="4"/>
  <c r="I35" i="4"/>
  <c r="H35" i="4"/>
  <c r="G35" i="4"/>
  <c r="F35" i="4"/>
  <c r="M33" i="4"/>
  <c r="L33" i="4"/>
  <c r="K33" i="4"/>
  <c r="J33" i="4"/>
  <c r="I33" i="4"/>
  <c r="H33" i="4"/>
  <c r="G33" i="4"/>
  <c r="F33" i="4"/>
  <c r="F28" i="4"/>
  <c r="F27" i="4"/>
  <c r="F26" i="4"/>
  <c r="F25" i="4"/>
  <c r="F24" i="4"/>
  <c r="F23" i="4"/>
  <c r="I20" i="4"/>
  <c r="H20" i="4"/>
  <c r="G20" i="4"/>
  <c r="G13" i="4"/>
  <c r="L10" i="4"/>
  <c r="H17" i="4" s="1"/>
  <c r="H10" i="4"/>
  <c r="G10" i="4"/>
  <c r="H7" i="4"/>
  <c r="G7" i="4"/>
  <c r="H6" i="4"/>
  <c r="G6" i="4"/>
  <c r="I5" i="4"/>
  <c r="H5" i="4"/>
  <c r="G5" i="4"/>
  <c r="N1" i="4"/>
  <c r="L1" i="4"/>
  <c r="J1" i="4"/>
  <c r="G83" i="4"/>
  <c r="L33" i="3"/>
  <c r="L35" i="3" s="1"/>
  <c r="L30" i="3"/>
  <c r="N43" i="2"/>
  <c r="G11" i="2"/>
  <c r="G8" i="2"/>
  <c r="N28" i="2" l="1"/>
  <c r="H83" i="4"/>
  <c r="X13" i="3"/>
  <c r="O11" i="2"/>
  <c r="O28" i="2"/>
  <c r="L83" i="4"/>
  <c r="G15" i="2"/>
  <c r="N45" i="2"/>
  <c r="J83" i="4"/>
  <c r="X19" i="3"/>
  <c r="X27" i="3"/>
  <c r="G9" i="2"/>
  <c r="N11" i="2"/>
  <c r="M83" i="4"/>
  <c r="R27" i="3"/>
  <c r="K83" i="4"/>
  <c r="M28" i="2"/>
  <c r="X31" i="3"/>
  <c r="L27" i="3"/>
  <c r="F27" i="3" s="1"/>
  <c r="G26" i="2"/>
  <c r="N29" i="2"/>
  <c r="G17" i="4"/>
  <c r="R21" i="3"/>
  <c r="I17" i="4"/>
  <c r="I16" i="4"/>
  <c r="G16" i="4"/>
  <c r="H16" i="4"/>
  <c r="R30" i="3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W012133" type="6" refreshedVersion="4" background="1" saveData="1">
    <textPr prompt="0" codePage="850" sourceFile="C:\GMC\IVANOVOFINAL_12C3\RUN_12C3\Wfiles\133\W012133.txt" decimal="," thousands=" ">
      <textFields>
        <textField/>
      </textFields>
    </textPr>
  </connection>
</connections>
</file>

<file path=xl/sharedStrings.xml><?xml version="1.0" encoding="utf-8"?>
<sst xmlns="http://schemas.openxmlformats.org/spreadsheetml/2006/main" count="551" uniqueCount="341">
  <si>
    <t>%</t>
  </si>
  <si>
    <t xml:space="preserve"> </t>
  </si>
  <si>
    <t>)</t>
  </si>
  <si>
    <t xml:space="preserve">       </t>
  </si>
  <si>
    <t>Управленческий отчёт</t>
  </si>
  <si>
    <t>Код:</t>
  </si>
  <si>
    <t>Компания</t>
  </si>
  <si>
    <t>Группа</t>
  </si>
  <si>
    <t xml:space="preserve"> ПРОВЕРЬТЕ …</t>
  </si>
  <si>
    <t>Решения</t>
  </si>
  <si>
    <t>Год</t>
  </si>
  <si>
    <t>Кв</t>
  </si>
  <si>
    <t>Имидж</t>
  </si>
  <si>
    <t>Продукт</t>
  </si>
  <si>
    <t>Через</t>
  </si>
  <si>
    <t>Вознагр.</t>
  </si>
  <si>
    <t>Комис.</t>
  </si>
  <si>
    <t>Агенты и дистрибьюторы:</t>
  </si>
  <si>
    <t>квартал</t>
  </si>
  <si>
    <t>Интернет</t>
  </si>
  <si>
    <t>Интернет-агент</t>
  </si>
  <si>
    <t>Операционная деятельность:</t>
  </si>
  <si>
    <t>Заказано сырья (тыс.шт.)</t>
  </si>
  <si>
    <t>СПОТ</t>
  </si>
  <si>
    <t>3 мес.</t>
  </si>
  <si>
    <t>6 мес.</t>
  </si>
  <si>
    <t>Время на ТО 1 станка (час)</t>
  </si>
  <si>
    <t>Кол-во рабочих смен</t>
  </si>
  <si>
    <t>Кол-во Интернет-портов</t>
  </si>
  <si>
    <t>Количество произведённой и отгруженной продукции (шт.):</t>
  </si>
  <si>
    <t>Управление персоналом</t>
  </si>
  <si>
    <t xml:space="preserve">Сборщики: Нанять (+) / Увол. (-) </t>
  </si>
  <si>
    <t>Повыш. Квалификации</t>
  </si>
  <si>
    <t>Часовая зарплата сборщика</t>
  </si>
  <si>
    <t>Тренинги (дней)</t>
  </si>
  <si>
    <t xml:space="preserve">(доставлен не полностью, если пометка *) </t>
  </si>
  <si>
    <t>Качество продукции:</t>
  </si>
  <si>
    <t>Финансы:</t>
  </si>
  <si>
    <t>Внедрить новые разработки (1;0)</t>
  </si>
  <si>
    <t>Эмиссия/Выкуп акций</t>
  </si>
  <si>
    <t>Дивиденды (в %)</t>
  </si>
  <si>
    <t>Время сборки (минуты)</t>
  </si>
  <si>
    <t>Покупка станков (шт.)</t>
  </si>
  <si>
    <t>Продажа станков (шт.)</t>
  </si>
  <si>
    <t>Премиальные материалы (%)</t>
  </si>
  <si>
    <t>Расширение цеха (кв. м.)</t>
  </si>
  <si>
    <t>Страховой план</t>
  </si>
  <si>
    <t>Аутсорсинг:</t>
  </si>
  <si>
    <t>Информация:</t>
  </si>
  <si>
    <t>Заказанные полуфабрикаты (шт.)</t>
  </si>
  <si>
    <t>О долях рынка</t>
  </si>
  <si>
    <t>О дея-ти конкурентов</t>
  </si>
  <si>
    <t xml:space="preserve">   Компания</t>
  </si>
  <si>
    <t>Ресурсы и продукты</t>
  </si>
  <si>
    <t>Использование материальных ресурсов</t>
  </si>
  <si>
    <t>Человеческие ресурсы:</t>
  </si>
  <si>
    <t>Движение товара:</t>
  </si>
  <si>
    <t>Продукт 1</t>
  </si>
  <si>
    <t>Продукт 2</t>
  </si>
  <si>
    <t>Продукт 3</t>
  </si>
  <si>
    <t>Количество продукции:</t>
  </si>
  <si>
    <t>Пространство:</t>
  </si>
  <si>
    <t>Кв. м.</t>
  </si>
  <si>
    <t>Движение персонала:</t>
  </si>
  <si>
    <t>Сборщики</t>
  </si>
  <si>
    <t>Механики</t>
  </si>
  <si>
    <t xml:space="preserve">  Запланировано</t>
  </si>
  <si>
    <t xml:space="preserve">  Земля в собственности</t>
  </si>
  <si>
    <t xml:space="preserve">  На начало прош. квартала</t>
  </si>
  <si>
    <t xml:space="preserve">  Произведено</t>
  </si>
  <si>
    <t xml:space="preserve">   Инфраструктурные объекты</t>
  </si>
  <si>
    <t xml:space="preserve">  рекрутировано</t>
  </si>
  <si>
    <t xml:space="preserve">  Брак</t>
  </si>
  <si>
    <t xml:space="preserve">   Располагаемая площадь</t>
  </si>
  <si>
    <t xml:space="preserve">  Обучено</t>
  </si>
  <si>
    <t xml:space="preserve">  Потеряно/уничтожено</t>
  </si>
  <si>
    <t xml:space="preserve">  Размер цеха в след. квартале</t>
  </si>
  <si>
    <t xml:space="preserve">  Уволено</t>
  </si>
  <si>
    <t xml:space="preserve">   Инфраструктура цеха</t>
  </si>
  <si>
    <t xml:space="preserve">  Увол. по собств. желанию</t>
  </si>
  <si>
    <t>Отгружено:</t>
  </si>
  <si>
    <t xml:space="preserve">   Изготовление деталей</t>
  </si>
  <si>
    <t xml:space="preserve">  Доступно на нач.след.кв.</t>
  </si>
  <si>
    <t xml:space="preserve">   Сборка</t>
  </si>
  <si>
    <t xml:space="preserve">   Складирование</t>
  </si>
  <si>
    <t xml:space="preserve">  Интернет-агенту</t>
  </si>
  <si>
    <t xml:space="preserve">   Свободная площадь (+/-):</t>
  </si>
  <si>
    <t>Сборщики:</t>
  </si>
  <si>
    <t>Часы</t>
  </si>
  <si>
    <t xml:space="preserve">  Доступно часов работы в прош.кв</t>
  </si>
  <si>
    <t>Заказы из:</t>
  </si>
  <si>
    <t>Станки:</t>
  </si>
  <si>
    <t>Количество</t>
  </si>
  <si>
    <t xml:space="preserve">  Общее время отсутствия/болезни</t>
  </si>
  <si>
    <t xml:space="preserve">  Выведено из эксплуатации</t>
  </si>
  <si>
    <t xml:space="preserve">  Фактически отработано часов</t>
  </si>
  <si>
    <t xml:space="preserve">  Использовалось в прош. квартале</t>
  </si>
  <si>
    <t>Недели</t>
  </si>
  <si>
    <t xml:space="preserve">  Интернет</t>
  </si>
  <si>
    <t xml:space="preserve">  Куплено и установлено</t>
  </si>
  <si>
    <t xml:space="preserve">  Уведомл. о забастовках в след.кв-ле</t>
  </si>
  <si>
    <t xml:space="preserve">  Доступно для след. квартала</t>
  </si>
  <si>
    <t>Продано в:</t>
  </si>
  <si>
    <t>Доступных часов работы в прош.кв.</t>
  </si>
  <si>
    <t xml:space="preserve">  Часов простоя станков</t>
  </si>
  <si>
    <t xml:space="preserve">  Отработано часов в прош. кв.</t>
  </si>
  <si>
    <t>Движение агентов:</t>
  </si>
  <si>
    <t xml:space="preserve">  Часы запланированного техосмотра </t>
  </si>
  <si>
    <t>Доступные в прош.кв.</t>
  </si>
  <si>
    <t>Долги по поставкам:</t>
  </si>
  <si>
    <t xml:space="preserve">  Средняя эффективность станка %</t>
  </si>
  <si>
    <t>Покинули компанию</t>
  </si>
  <si>
    <t>Уволены в прошл.кв.</t>
  </si>
  <si>
    <t>Материалы:</t>
  </si>
  <si>
    <t>Нанятые для след.кв.</t>
  </si>
  <si>
    <t xml:space="preserve">  Остатки сырья на начало периода</t>
  </si>
  <si>
    <t>Доступно в след.кв.</t>
  </si>
  <si>
    <t>Склады:</t>
  </si>
  <si>
    <t xml:space="preserve">   Закуплено сырья в прош. кв.</t>
  </si>
  <si>
    <t xml:space="preserve">   Закуплено автоматически</t>
  </si>
  <si>
    <t xml:space="preserve">   Потеряно/уничтожено</t>
  </si>
  <si>
    <t xml:space="preserve">   Использовано сырья</t>
  </si>
  <si>
    <t xml:space="preserve">  Остатки сырья на конец прош. кв.</t>
  </si>
  <si>
    <t>Траспорт:</t>
  </si>
  <si>
    <t xml:space="preserve">  Будет доставлено в след. квартале:</t>
  </si>
  <si>
    <t>Сред.километраж</t>
  </si>
  <si>
    <t>Обслужено по</t>
  </si>
  <si>
    <t xml:space="preserve">     Купленного в прошлом квартале</t>
  </si>
  <si>
    <t>Кол-во отгрузок</t>
  </si>
  <si>
    <t>гарантии</t>
  </si>
  <si>
    <t xml:space="preserve">     Купленного 2 квартала назад</t>
  </si>
  <si>
    <t xml:space="preserve">  Будет доставлено через один квартал:</t>
  </si>
  <si>
    <t>Новые разработки</t>
  </si>
  <si>
    <r>
      <t>Интернет-статистика</t>
    </r>
    <r>
      <rPr>
        <b/>
        <sz val="9"/>
        <rFont val="Arial"/>
        <family val="2"/>
      </rPr>
      <t>:</t>
    </r>
  </si>
  <si>
    <t>Полуфабрикаты:</t>
  </si>
  <si>
    <t xml:space="preserve">  Количество действующих портов</t>
  </si>
  <si>
    <t>Углеродный след (CO2e):</t>
  </si>
  <si>
    <t>Тонны</t>
  </si>
  <si>
    <t xml:space="preserve"> Использовано в сборке</t>
  </si>
  <si>
    <t xml:space="preserve">  Успешные посещения сайта</t>
  </si>
  <si>
    <t xml:space="preserve">  Отопление и освещение цеха</t>
  </si>
  <si>
    <t xml:space="preserve"> Заказано в прошл. кв.</t>
  </si>
  <si>
    <t xml:space="preserve">  % незашедших посетителей</t>
  </si>
  <si>
    <t xml:space="preserve">  Энергия для производства</t>
  </si>
  <si>
    <t xml:space="preserve"> Остатки на конец кв.</t>
  </si>
  <si>
    <t xml:space="preserve">  Кол-во жалоб</t>
  </si>
  <si>
    <t>Итого первичный CO2e</t>
  </si>
  <si>
    <t xml:space="preserve"> Доступно для сборки</t>
  </si>
  <si>
    <t>Финансовая отчётность</t>
  </si>
  <si>
    <t>ФИНАНСОВАЯ ОТЧЁТНОСТЬ</t>
  </si>
  <si>
    <t xml:space="preserve">ОТЧЁТ О ДВИЖЕНИИ </t>
  </si>
  <si>
    <t>НАКЛАДНЫЕ РАСХОДЫ</t>
  </si>
  <si>
    <t>ОТЧЁТ О ПРИБЫЛЯХ И УБЫТКАХ</t>
  </si>
  <si>
    <t>БАЛАНС КОМПАНИИ</t>
  </si>
  <si>
    <t>ДЕНЕЖНЫХ СРЕДСТВ</t>
  </si>
  <si>
    <t xml:space="preserve">  Реклама</t>
  </si>
  <si>
    <t>Выручка от реализации</t>
  </si>
  <si>
    <t>Внеоборотные активы:</t>
  </si>
  <si>
    <r>
      <t xml:space="preserve">  </t>
    </r>
    <r>
      <rPr>
        <sz val="8"/>
        <rFont val="Arial"/>
        <family val="2"/>
      </rPr>
      <t>Интернет-агент</t>
    </r>
  </si>
  <si>
    <t xml:space="preserve">  Стоимость земли</t>
  </si>
  <si>
    <t xml:space="preserve">  Поступления от продаж</t>
  </si>
  <si>
    <t xml:space="preserve">  Интернет-провайдер</t>
  </si>
  <si>
    <t xml:space="preserve">  Складские ост. на начало кв.</t>
  </si>
  <si>
    <t xml:space="preserve">  Стоимость построек</t>
  </si>
  <si>
    <t xml:space="preserve">  Страховые поступления</t>
  </si>
  <si>
    <t xml:space="preserve">  Агенты и дистрибьюторы</t>
  </si>
  <si>
    <t xml:space="preserve">  Закупленные полуфабрикаты</t>
  </si>
  <si>
    <t xml:space="preserve">  Стоимость оборудования</t>
  </si>
  <si>
    <t xml:space="preserve">  Платежи по операц. деят-ти</t>
  </si>
  <si>
    <t xml:space="preserve">  Офис продаж</t>
  </si>
  <si>
    <t xml:space="preserve">  Закупленное сырье</t>
  </si>
  <si>
    <t>Всего внеоборотных активов</t>
  </si>
  <si>
    <t xml:space="preserve">  Уплаченные налоги</t>
  </si>
  <si>
    <t xml:space="preserve">  Гарантийное обслуживание</t>
  </si>
  <si>
    <t xml:space="preserve">  Затраты на эксплуатацию станков</t>
  </si>
  <si>
    <t>Ден. поток по операц. деят-ти</t>
  </si>
  <si>
    <t xml:space="preserve">  Исследования и разработки</t>
  </si>
  <si>
    <t xml:space="preserve">  Зарплаты механиков</t>
  </si>
  <si>
    <t>Оборотные активы:</t>
  </si>
  <si>
    <t xml:space="preserve">  Развитие веб-сайта</t>
  </si>
  <si>
    <t xml:space="preserve">  Зарплаты сборщиков</t>
  </si>
  <si>
    <t xml:space="preserve">  Ст-ть товарных запасов</t>
  </si>
  <si>
    <t>Инвестиционная деятельность:</t>
  </si>
  <si>
    <t xml:space="preserve">  Отдел персонала</t>
  </si>
  <si>
    <t xml:space="preserve">  Контроль качества</t>
  </si>
  <si>
    <t xml:space="preserve">  Ст-ть запасов полуфабр.</t>
  </si>
  <si>
    <t xml:space="preserve">  Полученный процент</t>
  </si>
  <si>
    <t xml:space="preserve">  Техобслуживание оборудов.</t>
  </si>
  <si>
    <t xml:space="preserve">  Аренда транспорта</t>
  </si>
  <si>
    <t xml:space="preserve">  Стоимость запасов сырья</t>
  </si>
  <si>
    <t xml:space="preserve">  Активов продано</t>
  </si>
  <si>
    <t xml:space="preserve">  Складирование и закупка</t>
  </si>
  <si>
    <t xml:space="preserve">  Складские ост. на конец кв.</t>
  </si>
  <si>
    <t xml:space="preserve">  Дебиторская задолженность</t>
  </si>
  <si>
    <t xml:space="preserve">  Активов куплено</t>
  </si>
  <si>
    <t xml:space="preserve">  Расходы на маркет.исслед.</t>
  </si>
  <si>
    <t>Затраты на пр-во и реал. пр.</t>
  </si>
  <si>
    <t xml:space="preserve">  Денежные ср-ва и их экв-ты</t>
  </si>
  <si>
    <t>Ден. поток по инвест. деят-ти</t>
  </si>
  <si>
    <t xml:space="preserve">  Кредитный контроль</t>
  </si>
  <si>
    <t>Валовая прибыль/убыток</t>
  </si>
  <si>
    <t>Итого оборотные активы</t>
  </si>
  <si>
    <t xml:space="preserve">  Страховая премия</t>
  </si>
  <si>
    <t xml:space="preserve">  Накладные расходы</t>
  </si>
  <si>
    <t>Итого активы</t>
  </si>
  <si>
    <t>Финансовая деятельность:</t>
  </si>
  <si>
    <t xml:space="preserve">  Управленческий бюджет</t>
  </si>
  <si>
    <t xml:space="preserve">  Акций выпущено</t>
  </si>
  <si>
    <t xml:space="preserve">  Прочие издержки</t>
  </si>
  <si>
    <t xml:space="preserve">  Амортизация</t>
  </si>
  <si>
    <t>Обязательства:</t>
  </si>
  <si>
    <t xml:space="preserve">  Акций выкуплено</t>
  </si>
  <si>
    <t>Итого накладные расходы</t>
  </si>
  <si>
    <t>Операц. прибыль/убыток</t>
  </si>
  <si>
    <t xml:space="preserve">  Задолженность по налогам</t>
  </si>
  <si>
    <t xml:space="preserve">  Дивиденды</t>
  </si>
  <si>
    <r>
      <t xml:space="preserve">  </t>
    </r>
    <r>
      <rPr>
        <sz val="8"/>
        <rFont val="Arial"/>
        <family val="2"/>
      </rPr>
      <t>Кредиторская задолженность</t>
    </r>
  </si>
  <si>
    <t xml:space="preserve">  Доп. срочные кредиты</t>
  </si>
  <si>
    <t>Налогообл. прибыль/убыток (накопл.):</t>
  </si>
  <si>
    <t xml:space="preserve">  Уплаченный процент</t>
  </si>
  <si>
    <t xml:space="preserve">  Банковский овердрафт</t>
  </si>
  <si>
    <t xml:space="preserve">  Прибыль до налогообложения</t>
  </si>
  <si>
    <t>Прибыль/убыток до налогообл.</t>
  </si>
  <si>
    <t>Краткосрочные обязательства</t>
  </si>
  <si>
    <t>Ден. поток по фин. деят-ти</t>
  </si>
  <si>
    <t xml:space="preserve">  Налогообл. приб. в прош. кв.</t>
  </si>
  <si>
    <t xml:space="preserve">  Налоги начисленные</t>
  </si>
  <si>
    <t>Срочные кредиты</t>
  </si>
  <si>
    <t xml:space="preserve">  Налогооблагаемая прибыль</t>
  </si>
  <si>
    <t>Прибыль за отчётный период</t>
  </si>
  <si>
    <t>Чистый денежный поток</t>
  </si>
  <si>
    <t>Прибыль на акцию (копеек)</t>
  </si>
  <si>
    <t>Чистые активы</t>
  </si>
  <si>
    <t>Нал. ср-ва в позапрош. кв.</t>
  </si>
  <si>
    <t>Наличные средства</t>
  </si>
  <si>
    <t>Дивиденды</t>
  </si>
  <si>
    <t>Собственный капитал:</t>
  </si>
  <si>
    <t>(включая срочный депозит  -</t>
  </si>
  <si>
    <t>Иски к страховой компании</t>
  </si>
  <si>
    <t>Перенесено в нераспр.приб.</t>
  </si>
  <si>
    <t xml:space="preserve">  Акционерный капитал</t>
  </si>
  <si>
    <t>Безусловная франшиза</t>
  </si>
  <si>
    <t>Нераспр. приб. в предпосл.кв.</t>
  </si>
  <si>
    <t xml:space="preserve">  Счёт премий на акции</t>
  </si>
  <si>
    <t>Лимит овердрафта на след.кв.</t>
  </si>
  <si>
    <t>Нераспределенная прибыль</t>
  </si>
  <si>
    <t xml:space="preserve">  Нераспределённая прибыль</t>
  </si>
  <si>
    <t>Кредитоспособность</t>
  </si>
  <si>
    <t>Итого капитал</t>
  </si>
  <si>
    <t>Информация о группе стр. 1</t>
  </si>
  <si>
    <t>ЭКОНОМИЧЕСКАЯ ИНФОРМАЦИЯ</t>
  </si>
  <si>
    <t xml:space="preserve">   Остальной мир</t>
  </si>
  <si>
    <r>
      <t xml:space="preserve">  </t>
    </r>
    <r>
      <rPr>
        <sz val="9"/>
        <rFont val="Arial"/>
        <family val="2"/>
      </rPr>
      <t>Валовый внутренний продукт (ВВП)</t>
    </r>
  </si>
  <si>
    <r>
      <t xml:space="preserve">  </t>
    </r>
    <r>
      <rPr>
        <sz val="9"/>
        <rFont val="Arial"/>
        <family val="2"/>
      </rPr>
      <t>Уровень безработицы (в %)</t>
    </r>
  </si>
  <si>
    <t xml:space="preserve">  Внешнеторговый баланс</t>
  </si>
  <si>
    <t>Информация о следующем квартале:</t>
  </si>
  <si>
    <r>
      <t xml:space="preserve">  </t>
    </r>
    <r>
      <rPr>
        <sz val="9"/>
        <rFont val="Arial"/>
        <family val="2"/>
      </rPr>
      <t>Годовая проц. ставка ЦБ на сл. кв. (в %)</t>
    </r>
  </si>
  <si>
    <t xml:space="preserve">   от (без премиальных материалов)</t>
  </si>
  <si>
    <t xml:space="preserve">   до (100% премиальных материалов)</t>
  </si>
  <si>
    <t>БИЗНЕС-АНАЛИТИКА:</t>
  </si>
  <si>
    <t>БЕСПЛАТНАЯ ИНФОРМАЦИЯ</t>
  </si>
  <si>
    <t>Фондовый рынок:</t>
  </si>
  <si>
    <t xml:space="preserve">  Дивиденды (в %)</t>
  </si>
  <si>
    <t xml:space="preserve">  Инвест. привлекательность</t>
  </si>
  <si>
    <t>Отчёт о деятельности конкурентов:</t>
  </si>
  <si>
    <t xml:space="preserve">  Производственный персонал</t>
  </si>
  <si>
    <t xml:space="preserve">  Кол-во агентов и дистриб.</t>
  </si>
  <si>
    <t>Информация о группе стр. 2</t>
  </si>
  <si>
    <t>БАЛАНСЫ КОМПАНИЙ</t>
  </si>
  <si>
    <t xml:space="preserve">            Компания:</t>
  </si>
  <si>
    <t>Активы</t>
  </si>
  <si>
    <t xml:space="preserve"> Внеоборотные активы</t>
  </si>
  <si>
    <t xml:space="preserve"> Материальные запасы</t>
  </si>
  <si>
    <t xml:space="preserve"> Дебиторская задолженность</t>
  </si>
  <si>
    <t xml:space="preserve"> Деньги и их эквиваленты</t>
  </si>
  <si>
    <t>Обязательства</t>
  </si>
  <si>
    <t xml:space="preserve"> Задолженность по налогам</t>
  </si>
  <si>
    <t xml:space="preserve"> Кредиторская задолженность</t>
  </si>
  <si>
    <t xml:space="preserve"> Овердрафт</t>
  </si>
  <si>
    <t xml:space="preserve"> Долгосрочные кредиты</t>
  </si>
  <si>
    <t>Собственный капитал</t>
  </si>
  <si>
    <t xml:space="preserve"> Акционерный капитал</t>
  </si>
  <si>
    <t xml:space="preserve"> Счёт премий на акции</t>
  </si>
  <si>
    <t xml:space="preserve"> Нераспределённая прибыль</t>
  </si>
  <si>
    <t>ПЛАТНАЯ ИНФОРМАЦИЯ</t>
  </si>
  <si>
    <t xml:space="preserve">      Компания:</t>
  </si>
  <si>
    <t>Доли рынка (%) по проданным товарам</t>
  </si>
  <si>
    <t>Отчёт о деятельности конкурентов</t>
  </si>
  <si>
    <t xml:space="preserve">    Компания:</t>
  </si>
  <si>
    <t xml:space="preserve">  Оценки потребителей:</t>
  </si>
  <si>
    <t xml:space="preserve">     Продукт 1</t>
  </si>
  <si>
    <t xml:space="preserve">     Продукт 2</t>
  </si>
  <si>
    <t xml:space="preserve">     Продукт 3</t>
  </si>
  <si>
    <t xml:space="preserve">     Веб-сайт </t>
  </si>
  <si>
    <t xml:space="preserve"> Free info</t>
  </si>
  <si>
    <t>Not requested</t>
  </si>
  <si>
    <t xml:space="preserve"> This is a history quarter</t>
  </si>
  <si>
    <t>ЕАЭС</t>
  </si>
  <si>
    <t>Агенты в ЕАЭС</t>
  </si>
  <si>
    <t xml:space="preserve">  Агентам в ЕАЭС</t>
  </si>
  <si>
    <t xml:space="preserve">  ЕАЭС</t>
  </si>
  <si>
    <t xml:space="preserve">  Продукт 1:  ЕАЭС</t>
  </si>
  <si>
    <t xml:space="preserve">  Продукт 2:  ЕАЭС</t>
  </si>
  <si>
    <t xml:space="preserve">  Продукт 3:  ЕАЭС</t>
  </si>
  <si>
    <t xml:space="preserve">  Продукт 1:  ЕАЭС     </t>
  </si>
  <si>
    <t>Вложения в НИОКР (тыс.ерз.)</t>
  </si>
  <si>
    <t>Развитие сайта (тыс. ерз.)</t>
  </si>
  <si>
    <t xml:space="preserve"> (тыс. ерз.)</t>
  </si>
  <si>
    <t>Реклама (тыс. ерз.):</t>
  </si>
  <si>
    <t>Цены (ерз.):</t>
  </si>
  <si>
    <t>Управленческий бюджет (тыс.ерз.)</t>
  </si>
  <si>
    <t>Срочные кредиты (тыс. ерз.)</t>
  </si>
  <si>
    <t>Срочный депозит (т. ерз.)</t>
  </si>
  <si>
    <t>(ерз. )</t>
  </si>
  <si>
    <t xml:space="preserve">  Рыночная стоимость (ерз.)</t>
  </si>
  <si>
    <t xml:space="preserve"> Цены на продукцию (ерз.)</t>
  </si>
  <si>
    <t xml:space="preserve">  Общ. затраты на рекламу (ерз.)</t>
  </si>
  <si>
    <t xml:space="preserve">  Общ. затраты на НИОКР (ерз.)</t>
  </si>
  <si>
    <t xml:space="preserve">  Цена акций (в евразцентах)</t>
  </si>
  <si>
    <r>
      <t xml:space="preserve">  </t>
    </r>
    <r>
      <rPr>
        <sz val="9"/>
        <rFont val="Arial"/>
        <family val="2"/>
      </rPr>
      <t>Зарплата сборщиков (ерзцент./час)</t>
    </r>
  </si>
  <si>
    <t xml:space="preserve">  Цена строительства (ерз./кв.м.)</t>
  </si>
  <si>
    <t xml:space="preserve">  Цена полуфабрикатов (ерз./шт.)</t>
  </si>
  <si>
    <t>АСЕАН</t>
  </si>
  <si>
    <t xml:space="preserve">  АСЕАН</t>
  </si>
  <si>
    <t>Дистрибьюторы АСЕАН</t>
  </si>
  <si>
    <r>
      <t xml:space="preserve">  </t>
    </r>
    <r>
      <rPr>
        <sz val="9"/>
        <rFont val="Arial"/>
        <family val="2"/>
      </rPr>
      <t>АСЕАН</t>
    </r>
  </si>
  <si>
    <t xml:space="preserve">  Дистрибьюторам АСЕАН</t>
  </si>
  <si>
    <t xml:space="preserve">  Цена обычного сырья (долларов за 1000 шт.)</t>
  </si>
  <si>
    <t>The Global Management Challenge is a business simulation designed by Edit Systems Ltd. (www.edit515.co.uk) and organised by SDG S.A.  (www.worldgmc.com)
World Copyright © 2013 - EDIT 515 Ltd, UK and SDG - Simuladores e Modelos de Gestão, S.A.
Адаптировано Президентской Академией (РАНХиГС) для использования в России и СНГ</t>
  </si>
  <si>
    <t xml:space="preserve">  26C1</t>
  </si>
  <si>
    <t>*</t>
  </si>
  <si>
    <t>None</t>
  </si>
  <si>
    <t xml:space="preserve">   **</t>
  </si>
  <si>
    <t xml:space="preserve">    Курс ерз. к доллару (ерз./$)</t>
  </si>
  <si>
    <t xml:space="preserve">   1.85</t>
  </si>
  <si>
    <t xml:space="preserve">   1.53</t>
  </si>
  <si>
    <t>Minor</t>
  </si>
  <si>
    <t xml:space="preserve"> 99.0</t>
  </si>
  <si>
    <t>Малые предприятия могут получить преимущества перед своими более</t>
  </si>
  <si>
    <t>крупными конкурентами за счет более быстрого выполнения работ и</t>
  </si>
  <si>
    <t>совершенствования существующих продуктов.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</si>
</sst>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;\-0;;@"/>
    <numFmt numFmtId="165" formatCode="0.0"/>
    <numFmt numFmtId="166" formatCode="#"/>
    <numFmt numFmtId="167" formatCode="0;\-;;@"/>
  </numFmts>
  <fonts count="29">
    <font>
      <sz val="10"/>
      <name val="Arial"/>
    </font>
    <font>
      <sz val="10"/>
      <name val="Arial"/>
      <family val="2"/>
      <charset val="204"/>
    </font>
    <font>
      <b/>
      <sz val="26"/>
      <color indexed="21"/>
      <name val="Arial"/>
      <family val="2"/>
    </font>
    <font>
      <sz val="10"/>
      <color indexed="21"/>
      <name val="Arial"/>
      <family val="2"/>
    </font>
    <font>
      <b/>
      <sz val="14"/>
      <color indexed="21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b/>
      <sz val="20"/>
      <color indexed="21"/>
      <name val="Arial"/>
      <family val="2"/>
    </font>
    <font>
      <b/>
      <sz val="12"/>
      <color indexed="21"/>
      <name val="Arial"/>
      <family val="2"/>
    </font>
    <font>
      <sz val="9"/>
      <name val="Arial"/>
      <family val="2"/>
    </font>
    <font>
      <b/>
      <sz val="9"/>
      <color indexed="21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sz val="9"/>
      <name val="Arial Unicode MS"/>
      <family val="2"/>
    </font>
    <font>
      <sz val="8"/>
      <name val="Arial"/>
      <family val="2"/>
    </font>
    <font>
      <b/>
      <sz val="8"/>
      <name val="Arial"/>
      <family val="2"/>
    </font>
    <font>
      <sz val="8"/>
      <name val="Arial Unicode MS"/>
      <family val="2"/>
    </font>
    <font>
      <i/>
      <sz val="8"/>
      <name val="Arial"/>
      <family val="2"/>
    </font>
    <font>
      <b/>
      <sz val="11"/>
      <color indexed="21"/>
      <name val="Arial"/>
      <family val="2"/>
    </font>
    <font>
      <b/>
      <sz val="10"/>
      <color indexed="21"/>
      <name val="Arial"/>
      <family val="2"/>
    </font>
    <font>
      <sz val="9"/>
      <color indexed="12"/>
      <name val="Arial"/>
      <family val="2"/>
    </font>
    <font>
      <i/>
      <sz val="9"/>
      <name val="Arial"/>
      <family val="2"/>
    </font>
    <font>
      <sz val="9"/>
      <name val="Arial"/>
      <family val="2"/>
      <charset val="1"/>
    </font>
    <font>
      <sz val="10"/>
      <name val="Arial"/>
      <family val="2"/>
    </font>
    <font>
      <i/>
      <sz val="8"/>
      <name val="Arial"/>
      <family val="2"/>
      <charset val="204"/>
    </font>
    <font>
      <b/>
      <sz val="9"/>
      <name val="Arial"/>
      <family val="2"/>
      <charset val="204"/>
    </font>
    <font>
      <b/>
      <sz val="11"/>
      <color rgb="FF008080"/>
      <name val="Arial"/>
      <family val="2"/>
    </font>
    <font>
      <sz val="10"/>
      <name val="Arial"/>
      <family val="2"/>
      <charset val="204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6">
    <xf numFmtId="0" fontId="0" fillId="0" borderId="0"/>
    <xf numFmtId="9" fontId="1" fillId="0" borderId="0" applyFill="0" applyBorder="0" applyAlignment="0" applyProtection="0"/>
    <xf numFmtId="0" fontId="1" fillId="0" borderId="0"/>
    <xf numFmtId="0" fontId="28" fillId="0" borderId="0"/>
    <xf numFmtId="9" fontId="28" fillId="0" borderId="0" applyFont="0" applyFill="0" applyBorder="0" applyAlignment="0" applyProtection="0"/>
    <xf numFmtId="0" fontId="27" fillId="0" borderId="0"/>
  </cellStyleXfs>
  <cellXfs count="175">
    <xf numFmtId="0" fontId="0" fillId="0" borderId="0" xfId="0"/>
    <xf numFmtId="49" fontId="2" fillId="0" borderId="0" xfId="0" applyNumberFormat="1" applyFont="1"/>
    <xf numFmtId="0" fontId="3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6" fillId="0" borderId="0" xfId="0" applyFont="1" applyAlignment="1">
      <alignment horizontal="right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Border="1"/>
    <xf numFmtId="0" fontId="7" fillId="0" borderId="0" xfId="0" applyFont="1"/>
    <xf numFmtId="0" fontId="8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0" fillId="0" borderId="5" xfId="0" applyBorder="1"/>
    <xf numFmtId="0" fontId="5" fillId="0" borderId="0" xfId="0" applyFont="1" applyAlignment="1">
      <alignment horizontal="right"/>
    </xf>
    <xf numFmtId="0" fontId="9" fillId="0" borderId="0" xfId="0" applyFont="1"/>
    <xf numFmtId="0" fontId="10" fillId="0" borderId="0" xfId="0" applyFont="1"/>
    <xf numFmtId="0" fontId="11" fillId="0" borderId="0" xfId="0" applyFont="1" applyAlignment="1">
      <alignment horizontal="right"/>
    </xf>
    <xf numFmtId="0" fontId="11" fillId="0" borderId="0" xfId="0" applyFont="1"/>
    <xf numFmtId="0" fontId="11" fillId="0" borderId="0" xfId="0" applyFont="1" applyAlignment="1">
      <alignment horizontal="left"/>
    </xf>
    <xf numFmtId="0" fontId="9" fillId="0" borderId="5" xfId="0" applyFont="1" applyBorder="1"/>
    <xf numFmtId="0" fontId="9" fillId="0" borderId="6" xfId="0" applyFont="1" applyBorder="1" applyAlignment="1">
      <alignment horizontal="center"/>
    </xf>
    <xf numFmtId="0" fontId="9" fillId="0" borderId="7" xfId="0" applyFont="1" applyBorder="1" applyAlignment="1">
      <alignment horizontal="right"/>
    </xf>
    <xf numFmtId="0" fontId="9" fillId="0" borderId="8" xfId="0" applyFont="1" applyBorder="1"/>
    <xf numFmtId="0" fontId="9" fillId="0" borderId="0" xfId="0" applyFont="1" applyAlignment="1">
      <alignment horizontal="left"/>
    </xf>
    <xf numFmtId="0" fontId="9" fillId="0" borderId="1" xfId="0" applyFont="1" applyBorder="1" applyAlignment="1">
      <alignment horizontal="left"/>
    </xf>
    <xf numFmtId="0" fontId="9" fillId="0" borderId="3" xfId="0" applyFont="1" applyBorder="1" applyAlignment="1">
      <alignment horizontal="left"/>
    </xf>
    <xf numFmtId="164" fontId="9" fillId="0" borderId="0" xfId="0" applyNumberFormat="1" applyFont="1" applyAlignment="1">
      <alignment horizontal="left"/>
    </xf>
    <xf numFmtId="0" fontId="9" fillId="0" borderId="1" xfId="0" applyFont="1" applyBorder="1"/>
    <xf numFmtId="164" fontId="9" fillId="0" borderId="3" xfId="0" applyNumberFormat="1" applyFont="1" applyBorder="1" applyAlignment="1">
      <alignment horizontal="left"/>
    </xf>
    <xf numFmtId="0" fontId="9" fillId="0" borderId="0" xfId="0" applyFont="1" applyAlignment="1">
      <alignment horizontal="center"/>
    </xf>
    <xf numFmtId="0" fontId="9" fillId="0" borderId="7" xfId="0" applyFont="1" applyBorder="1"/>
    <xf numFmtId="0" fontId="9" fillId="0" borderId="9" xfId="0" applyFont="1" applyBorder="1" applyAlignment="1">
      <alignment horizontal="left"/>
    </xf>
    <xf numFmtId="164" fontId="9" fillId="0" borderId="10" xfId="0" applyNumberFormat="1" applyFont="1" applyBorder="1" applyAlignment="1">
      <alignment horizontal="right"/>
    </xf>
    <xf numFmtId="164" fontId="9" fillId="0" borderId="0" xfId="0" applyNumberFormat="1" applyFont="1" applyAlignment="1">
      <alignment horizontal="right"/>
    </xf>
    <xf numFmtId="164" fontId="9" fillId="0" borderId="10" xfId="0" applyNumberFormat="1" applyFont="1" applyBorder="1" applyAlignment="1">
      <alignment horizontal="left"/>
    </xf>
    <xf numFmtId="0" fontId="9" fillId="0" borderId="9" xfId="0" applyFont="1" applyBorder="1" applyAlignment="1">
      <alignment horizontal="right"/>
    </xf>
    <xf numFmtId="0" fontId="9" fillId="0" borderId="10" xfId="0" applyFont="1" applyBorder="1" applyAlignment="1">
      <alignment horizontal="left"/>
    </xf>
    <xf numFmtId="0" fontId="9" fillId="0" borderId="11" xfId="0" applyFont="1" applyBorder="1" applyAlignment="1">
      <alignment horizontal="center"/>
    </xf>
    <xf numFmtId="0" fontId="9" fillId="0" borderId="0" xfId="0" applyFont="1" applyAlignment="1">
      <alignment horizontal="right"/>
    </xf>
    <xf numFmtId="0" fontId="9" fillId="0" borderId="3" xfId="0" applyFont="1" applyBorder="1" applyAlignment="1">
      <alignment horizontal="right"/>
    </xf>
    <xf numFmtId="164" fontId="9" fillId="0" borderId="3" xfId="0" applyNumberFormat="1" applyFont="1" applyBorder="1" applyAlignment="1">
      <alignment horizontal="right"/>
    </xf>
    <xf numFmtId="0" fontId="9" fillId="0" borderId="1" xfId="0" applyFont="1" applyBorder="1" applyAlignment="1">
      <alignment horizontal="right"/>
    </xf>
    <xf numFmtId="164" fontId="9" fillId="0" borderId="3" xfId="0" applyNumberFormat="1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12" xfId="0" applyFont="1" applyBorder="1" applyAlignment="1">
      <alignment horizontal="center"/>
    </xf>
    <xf numFmtId="0" fontId="9" fillId="0" borderId="5" xfId="0" applyFont="1" applyBorder="1" applyAlignment="1">
      <alignment horizontal="right"/>
    </xf>
    <xf numFmtId="164" fontId="9" fillId="0" borderId="5" xfId="0" applyNumberFormat="1" applyFont="1" applyBorder="1" applyAlignment="1">
      <alignment horizontal="right"/>
    </xf>
    <xf numFmtId="0" fontId="9" fillId="0" borderId="4" xfId="0" applyFont="1" applyBorder="1" applyAlignment="1">
      <alignment horizontal="right"/>
    </xf>
    <xf numFmtId="164" fontId="9" fillId="0" borderId="5" xfId="0" applyNumberFormat="1" applyFont="1" applyBorder="1" applyAlignment="1">
      <alignment horizontal="center"/>
    </xf>
    <xf numFmtId="1" fontId="9" fillId="0" borderId="4" xfId="0" applyNumberFormat="1" applyFont="1" applyBorder="1" applyAlignment="1">
      <alignment horizontal="right"/>
    </xf>
    <xf numFmtId="0" fontId="9" fillId="0" borderId="13" xfId="0" applyFont="1" applyBorder="1" applyAlignment="1">
      <alignment horizontal="center"/>
    </xf>
    <xf numFmtId="0" fontId="9" fillId="0" borderId="14" xfId="0" applyFont="1" applyBorder="1" applyAlignment="1">
      <alignment horizontal="right"/>
    </xf>
    <xf numFmtId="0" fontId="9" fillId="0" borderId="10" xfId="0" applyFont="1" applyBorder="1" applyAlignment="1">
      <alignment horizontal="right"/>
    </xf>
    <xf numFmtId="164" fontId="9" fillId="0" borderId="10" xfId="0" applyNumberFormat="1" applyFont="1" applyBorder="1" applyAlignment="1">
      <alignment horizontal="center"/>
    </xf>
    <xf numFmtId="1" fontId="9" fillId="0" borderId="9" xfId="0" applyNumberFormat="1" applyFont="1" applyBorder="1" applyAlignment="1">
      <alignment horizontal="right"/>
    </xf>
    <xf numFmtId="165" fontId="9" fillId="0" borderId="0" xfId="0" applyNumberFormat="1" applyFont="1" applyAlignment="1">
      <alignment horizontal="right"/>
    </xf>
    <xf numFmtId="0" fontId="9" fillId="0" borderId="14" xfId="0" applyFont="1" applyBorder="1"/>
    <xf numFmtId="0" fontId="9" fillId="0" borderId="2" xfId="0" applyFont="1" applyBorder="1" applyAlignment="1">
      <alignment horizontal="right"/>
    </xf>
    <xf numFmtId="0" fontId="9" fillId="0" borderId="15" xfId="0" applyFont="1" applyBorder="1" applyAlignment="1">
      <alignment horizontal="right"/>
    </xf>
    <xf numFmtId="0" fontId="9" fillId="0" borderId="8" xfId="0" applyFont="1" applyBorder="1" applyAlignment="1">
      <alignment horizontal="center"/>
    </xf>
    <xf numFmtId="0" fontId="9" fillId="0" borderId="15" xfId="0" applyFont="1" applyBorder="1"/>
    <xf numFmtId="164" fontId="9" fillId="0" borderId="8" xfId="0" applyNumberFormat="1" applyFont="1" applyBorder="1" applyAlignment="1">
      <alignment horizontal="center"/>
    </xf>
    <xf numFmtId="164" fontId="9" fillId="0" borderId="0" xfId="0" applyNumberFormat="1" applyFont="1"/>
    <xf numFmtId="0" fontId="9" fillId="0" borderId="2" xfId="0" applyFont="1" applyBorder="1"/>
    <xf numFmtId="0" fontId="9" fillId="0" borderId="10" xfId="0" applyFont="1" applyBorder="1" applyAlignment="1">
      <alignment horizontal="center"/>
    </xf>
    <xf numFmtId="0" fontId="9" fillId="0" borderId="10" xfId="0" applyFont="1" applyBorder="1"/>
    <xf numFmtId="2" fontId="9" fillId="0" borderId="4" xfId="0" applyNumberFormat="1" applyFont="1" applyBorder="1" applyAlignment="1">
      <alignment horizontal="right"/>
    </xf>
    <xf numFmtId="2" fontId="9" fillId="0" borderId="0" xfId="0" applyNumberFormat="1" applyFont="1" applyAlignment="1">
      <alignment horizontal="right"/>
    </xf>
    <xf numFmtId="164" fontId="9" fillId="0" borderId="8" xfId="0" applyNumberFormat="1" applyFont="1" applyBorder="1" applyAlignment="1">
      <alignment horizontal="right"/>
    </xf>
    <xf numFmtId="0" fontId="9" fillId="0" borderId="14" xfId="0" applyFont="1" applyBorder="1" applyAlignment="1">
      <alignment horizontal="left"/>
    </xf>
    <xf numFmtId="0" fontId="9" fillId="0" borderId="3" xfId="0" applyFont="1" applyBorder="1"/>
    <xf numFmtId="164" fontId="9" fillId="0" borderId="10" xfId="0" applyNumberFormat="1" applyFont="1" applyBorder="1"/>
    <xf numFmtId="0" fontId="9" fillId="0" borderId="8" xfId="0" applyFont="1" applyBorder="1" applyAlignment="1">
      <alignment horizontal="left"/>
    </xf>
    <xf numFmtId="0" fontId="0" fillId="0" borderId="9" xfId="0" applyBorder="1"/>
    <xf numFmtId="164" fontId="9" fillId="0" borderId="14" xfId="0" applyNumberFormat="1" applyFont="1" applyBorder="1" applyAlignment="1">
      <alignment horizontal="left"/>
    </xf>
    <xf numFmtId="0" fontId="12" fillId="0" borderId="0" xfId="0" applyFont="1"/>
    <xf numFmtId="164" fontId="0" fillId="0" borderId="0" xfId="0" applyNumberFormat="1"/>
    <xf numFmtId="0" fontId="0" fillId="0" borderId="0" xfId="0" applyAlignment="1">
      <alignment horizontal="right"/>
    </xf>
    <xf numFmtId="164" fontId="0" fillId="0" borderId="0" xfId="0" applyNumberFormat="1" applyAlignment="1">
      <alignment horizontal="right"/>
    </xf>
    <xf numFmtId="0" fontId="11" fillId="0" borderId="14" xfId="0" applyFont="1" applyBorder="1"/>
    <xf numFmtId="0" fontId="11" fillId="0" borderId="2" xfId="0" applyFont="1" applyBorder="1"/>
    <xf numFmtId="0" fontId="13" fillId="0" borderId="0" xfId="0" applyFont="1" applyAlignment="1">
      <alignment horizontal="left"/>
    </xf>
    <xf numFmtId="0" fontId="13" fillId="0" borderId="0" xfId="0" applyFont="1"/>
    <xf numFmtId="0" fontId="11" fillId="0" borderId="5" xfId="0" applyFont="1" applyBorder="1"/>
    <xf numFmtId="0" fontId="11" fillId="0" borderId="2" xfId="0" applyFont="1" applyBorder="1" applyAlignment="1">
      <alignment horizontal="left"/>
    </xf>
    <xf numFmtId="0" fontId="11" fillId="0" borderId="10" xfId="0" applyFont="1" applyBorder="1"/>
    <xf numFmtId="0" fontId="15" fillId="0" borderId="1" xfId="0" applyFont="1" applyBorder="1"/>
    <xf numFmtId="0" fontId="15" fillId="0" borderId="2" xfId="0" applyFont="1" applyBorder="1"/>
    <xf numFmtId="0" fontId="15" fillId="0" borderId="3" xfId="0" applyFont="1" applyBorder="1"/>
    <xf numFmtId="0" fontId="15" fillId="0" borderId="0" xfId="0" applyFont="1"/>
    <xf numFmtId="0" fontId="15" fillId="0" borderId="5" xfId="0" applyFont="1" applyBorder="1"/>
    <xf numFmtId="0" fontId="15" fillId="0" borderId="0" xfId="0" applyFont="1" applyAlignment="1">
      <alignment horizontal="center"/>
    </xf>
    <xf numFmtId="0" fontId="16" fillId="0" borderId="0" xfId="0" applyFont="1"/>
    <xf numFmtId="0" fontId="17" fillId="0" borderId="0" xfId="0" applyFont="1" applyAlignment="1">
      <alignment horizontal="right"/>
    </xf>
    <xf numFmtId="0" fontId="12" fillId="0" borderId="0" xfId="0" applyFont="1" applyAlignment="1">
      <alignment horizontal="left"/>
    </xf>
    <xf numFmtId="0" fontId="17" fillId="0" borderId="0" xfId="0" applyFont="1"/>
    <xf numFmtId="0" fontId="18" fillId="0" borderId="0" xfId="0" applyFont="1"/>
    <xf numFmtId="0" fontId="19" fillId="0" borderId="0" xfId="0" applyFont="1"/>
    <xf numFmtId="0" fontId="20" fillId="0" borderId="0" xfId="0" applyFont="1"/>
    <xf numFmtId="164" fontId="11" fillId="0" borderId="0" xfId="0" applyNumberFormat="1" applyFont="1" applyAlignment="1">
      <alignment horizontal="right"/>
    </xf>
    <xf numFmtId="164" fontId="21" fillId="0" borderId="0" xfId="0" applyNumberFormat="1" applyFont="1" applyAlignment="1">
      <alignment horizontal="right"/>
    </xf>
    <xf numFmtId="0" fontId="22" fillId="0" borderId="0" xfId="0" applyFont="1"/>
    <xf numFmtId="0" fontId="9" fillId="0" borderId="2" xfId="0" applyFont="1" applyBorder="1" applyAlignment="1">
      <alignment horizontal="left"/>
    </xf>
    <xf numFmtId="0" fontId="9" fillId="0" borderId="4" xfId="0" applyFont="1" applyBorder="1"/>
    <xf numFmtId="0" fontId="9" fillId="0" borderId="9" xfId="0" applyFont="1" applyBorder="1"/>
    <xf numFmtId="1" fontId="9" fillId="0" borderId="0" xfId="0" applyNumberFormat="1" applyFont="1" applyAlignment="1">
      <alignment horizontal="center"/>
    </xf>
    <xf numFmtId="0" fontId="21" fillId="0" borderId="0" xfId="0" applyFont="1" applyAlignment="1">
      <alignment horizontal="right"/>
    </xf>
    <xf numFmtId="0" fontId="12" fillId="0" borderId="0" xfId="0" applyFont="1" applyAlignment="1">
      <alignment horizontal="center"/>
    </xf>
    <xf numFmtId="0" fontId="26" fillId="0" borderId="0" xfId="0" applyFont="1" applyAlignment="1">
      <alignment horizontal="right"/>
    </xf>
    <xf numFmtId="0" fontId="23" fillId="0" borderId="0" xfId="0" applyFont="1"/>
    <xf numFmtId="0" fontId="8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24" fillId="0" borderId="0" xfId="0" applyFont="1"/>
    <xf numFmtId="0" fontId="12" fillId="0" borderId="9" xfId="0" applyFont="1" applyBorder="1" applyAlignment="1">
      <alignment horizontal="left"/>
    </xf>
    <xf numFmtId="0" fontId="12" fillId="0" borderId="14" xfId="0" applyFont="1" applyBorder="1" applyAlignment="1">
      <alignment horizontal="left"/>
    </xf>
    <xf numFmtId="0" fontId="12" fillId="0" borderId="6" xfId="0" applyFont="1" applyBorder="1" applyAlignment="1">
      <alignment horizontal="right"/>
    </xf>
    <xf numFmtId="0" fontId="9" fillId="0" borderId="5" xfId="0" applyFont="1" applyBorder="1" applyAlignment="1">
      <alignment horizontal="left"/>
    </xf>
    <xf numFmtId="0" fontId="9" fillId="0" borderId="12" xfId="0" applyFont="1" applyBorder="1" applyAlignment="1">
      <alignment horizontal="right"/>
    </xf>
    <xf numFmtId="164" fontId="9" fillId="0" borderId="5" xfId="0" applyNumberFormat="1" applyFont="1" applyBorder="1" applyAlignment="1">
      <alignment horizontal="left"/>
    </xf>
    <xf numFmtId="0" fontId="9" fillId="0" borderId="13" xfId="0" applyFont="1" applyBorder="1" applyAlignment="1">
      <alignment horizontal="right"/>
    </xf>
    <xf numFmtId="1" fontId="9" fillId="0" borderId="0" xfId="0" applyNumberFormat="1" applyFont="1"/>
    <xf numFmtId="0" fontId="25" fillId="0" borderId="0" xfId="0" applyFont="1" applyAlignment="1">
      <alignment horizontal="right"/>
    </xf>
    <xf numFmtId="166" fontId="9" fillId="0" borderId="5" xfId="0" applyNumberFormat="1" applyFont="1" applyBorder="1"/>
    <xf numFmtId="0" fontId="15" fillId="0" borderId="11" xfId="0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9" fillId="0" borderId="12" xfId="0" applyFont="1" applyBorder="1"/>
    <xf numFmtId="165" fontId="9" fillId="0" borderId="0" xfId="0" applyNumberFormat="1" applyFont="1"/>
    <xf numFmtId="167" fontId="9" fillId="0" borderId="5" xfId="0" applyNumberFormat="1" applyFont="1" applyBorder="1" applyAlignment="1">
      <alignment horizontal="right"/>
    </xf>
    <xf numFmtId="0" fontId="11" fillId="0" borderId="11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25" fillId="0" borderId="14" xfId="0" applyFont="1" applyBorder="1"/>
    <xf numFmtId="164" fontId="9" fillId="0" borderId="4" xfId="0" applyNumberFormat="1" applyFont="1" applyBorder="1" applyAlignment="1">
      <alignment horizontal="right"/>
    </xf>
    <xf numFmtId="2" fontId="9" fillId="0" borderId="0" xfId="0" applyNumberFormat="1" applyFont="1"/>
    <xf numFmtId="2" fontId="9" fillId="0" borderId="14" xfId="0" applyNumberFormat="1" applyFont="1" applyBorder="1"/>
    <xf numFmtId="0" fontId="18" fillId="0" borderId="0" xfId="0" applyFont="1" applyAlignment="1">
      <alignment horizontal="right"/>
    </xf>
    <xf numFmtId="0" fontId="18" fillId="0" borderId="0" xfId="0" applyFont="1" applyAlignment="1">
      <alignment horizontal="left"/>
    </xf>
    <xf numFmtId="0" fontId="12" fillId="0" borderId="2" xfId="0" applyFont="1" applyBorder="1"/>
    <xf numFmtId="0" fontId="12" fillId="0" borderId="3" xfId="0" applyFont="1" applyBorder="1"/>
    <xf numFmtId="0" fontId="12" fillId="0" borderId="3" xfId="0" applyFont="1" applyBorder="1" applyAlignment="1">
      <alignment horizontal="left"/>
    </xf>
    <xf numFmtId="0" fontId="12" fillId="0" borderId="2" xfId="0" applyFont="1" applyBorder="1" applyAlignment="1">
      <alignment horizontal="left"/>
    </xf>
    <xf numFmtId="0" fontId="12" fillId="0" borderId="4" xfId="0" applyFont="1" applyBorder="1"/>
    <xf numFmtId="0" fontId="15" fillId="0" borderId="0" xfId="0" applyFont="1" applyAlignment="1">
      <alignment horizontal="right"/>
    </xf>
    <xf numFmtId="0" fontId="12" fillId="0" borderId="5" xfId="0" applyFont="1" applyBorder="1"/>
    <xf numFmtId="0" fontId="12" fillId="0" borderId="5" xfId="0" applyFont="1" applyBorder="1" applyAlignment="1">
      <alignment horizontal="left"/>
    </xf>
    <xf numFmtId="0" fontId="12" fillId="0" borderId="0" xfId="0" applyFont="1" applyAlignment="1">
      <alignment horizontal="right"/>
    </xf>
    <xf numFmtId="0" fontId="12" fillId="0" borderId="14" xfId="0" applyFont="1" applyBorder="1"/>
    <xf numFmtId="0" fontId="12" fillId="0" borderId="14" xfId="0" applyFont="1" applyBorder="1" applyAlignment="1">
      <alignment horizontal="right"/>
    </xf>
    <xf numFmtId="0" fontId="12" fillId="0" borderId="7" xfId="0" applyFont="1" applyBorder="1" applyAlignment="1">
      <alignment horizontal="right"/>
    </xf>
    <xf numFmtId="0" fontId="12" fillId="0" borderId="7" xfId="0" applyFont="1" applyBorder="1"/>
    <xf numFmtId="2" fontId="12" fillId="0" borderId="0" xfId="0" applyNumberFormat="1" applyFont="1"/>
    <xf numFmtId="0" fontId="12" fillId="0" borderId="9" xfId="0" applyFont="1" applyBorder="1"/>
    <xf numFmtId="0" fontId="12" fillId="0" borderId="10" xfId="0" applyFont="1" applyBorder="1"/>
    <xf numFmtId="0" fontId="10" fillId="0" borderId="0" xfId="0" applyFont="1" applyAlignment="1">
      <alignment horizontal="center"/>
    </xf>
    <xf numFmtId="165" fontId="9" fillId="0" borderId="0" xfId="0" applyNumberFormat="1" applyFont="1" applyAlignment="1">
      <alignment horizontal="center"/>
    </xf>
    <xf numFmtId="2" fontId="9" fillId="0" borderId="0" xfId="0" applyNumberFormat="1" applyFont="1" applyAlignment="1">
      <alignment horizontal="center"/>
    </xf>
    <xf numFmtId="3" fontId="9" fillId="0" borderId="0" xfId="0" applyNumberFormat="1" applyFont="1" applyAlignment="1">
      <alignment horizontal="center"/>
    </xf>
    <xf numFmtId="0" fontId="9" fillId="0" borderId="0" xfId="0" applyFont="1" applyAlignment="1">
      <alignment horizontal="center" vertical="center"/>
    </xf>
    <xf numFmtId="164" fontId="9" fillId="0" borderId="9" xfId="0" applyNumberFormat="1" applyFont="1" applyBorder="1"/>
    <xf numFmtId="164" fontId="9" fillId="0" borderId="14" xfId="0" applyNumberFormat="1" applyFont="1" applyBorder="1"/>
    <xf numFmtId="164" fontId="9" fillId="0" borderId="2" xfId="0" applyNumberFormat="1" applyFont="1" applyBorder="1" applyAlignment="1">
      <alignment horizontal="left"/>
    </xf>
    <xf numFmtId="164" fontId="9" fillId="0" borderId="2" xfId="0" applyNumberFormat="1" applyFont="1" applyBorder="1"/>
    <xf numFmtId="49" fontId="9" fillId="0" borderId="0" xfId="0" applyNumberFormat="1" applyFont="1" applyAlignment="1">
      <alignment horizontal="left"/>
    </xf>
    <xf numFmtId="9" fontId="1" fillId="0" borderId="0" xfId="1" applyBorder="1"/>
    <xf numFmtId="0" fontId="12" fillId="0" borderId="2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49" fontId="16" fillId="0" borderId="2" xfId="0" applyNumberFormat="1" applyFont="1" applyBorder="1" applyAlignment="1">
      <alignment horizontal="center" vertical="center" wrapText="1"/>
    </xf>
    <xf numFmtId="49" fontId="16" fillId="0" borderId="2" xfId="0" applyNumberFormat="1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/>
    </xf>
  </cellXfs>
  <cellStyles count="6">
    <cellStyle name="Обычный" xfId="0" builtinId="0"/>
    <cellStyle name="Обычный 2" xfId="2" xr:uid="{761CCFF1-6CD7-4330-9923-75104C6364A2}"/>
    <cellStyle name="Обычный 2 2" xfId="5" xr:uid="{00742E5F-05AD-44E3-A4C4-8A746CD6E61C}"/>
    <cellStyle name="Обычный 3" xfId="3" xr:uid="{25A09CAB-F952-440D-93AC-29799E15C7B5}"/>
    <cellStyle name="Процентный" xfId="1" builtinId="5"/>
    <cellStyle name="Процентный 2" xfId="4" xr:uid="{934DA5F7-28A0-4742-B9EB-E1462190B8BB}"/>
  </cellStyles>
  <dxfs count="0"/>
  <tableStyles count="0" defaultTableStyle="TableStyleMedium9" defaultPivotStyle="PivotStyleLight16"/>
  <colors>
    <mruColors>
      <color rgb="FF004996"/>
      <color rgb="FFDC2C34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W012133" connectionId="1" xr16:uid="{00000000-0016-0000-0800-000000000000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Y55"/>
  <sheetViews>
    <sheetView showGridLines="0" tabSelected="1" workbookViewId="0"/>
  </sheetViews>
  <sheetFormatPr defaultRowHeight="13.2"/>
  <cols>
    <col min="1" max="1" width="3" customWidth="1"/>
    <col min="2" max="2" width="1.44140625" customWidth="1"/>
    <col min="3" max="3" width="11.109375" customWidth="1"/>
    <col min="4" max="4" width="8.33203125" customWidth="1"/>
    <col min="5" max="5" width="8.6640625" customWidth="1"/>
    <col min="6" max="6" width="7.33203125" customWidth="1"/>
    <col min="7" max="7" width="1.88671875" customWidth="1"/>
    <col min="8" max="8" width="7.33203125" customWidth="1"/>
    <col min="9" max="9" width="1.6640625" customWidth="1"/>
    <col min="10" max="10" width="7.33203125" customWidth="1"/>
    <col min="11" max="11" width="1.88671875" customWidth="1"/>
    <col min="12" max="12" width="2.6640625" customWidth="1"/>
    <col min="13" max="13" width="8.6640625" customWidth="1"/>
    <col min="14" max="14" width="10.5546875" customWidth="1"/>
    <col min="15" max="15" width="6.109375" customWidth="1"/>
    <col min="16" max="16" width="5.6640625" customWidth="1"/>
    <col min="17" max="17" width="1.88671875" customWidth="1"/>
    <col min="18" max="18" width="2.44140625" customWidth="1"/>
    <col min="19" max="19" width="5.44140625" customWidth="1"/>
    <col min="20" max="20" width="5.6640625" customWidth="1"/>
    <col min="21" max="21" width="3.44140625" customWidth="1"/>
    <col min="22" max="22" width="6.109375" customWidth="1"/>
    <col min="23" max="23" width="6" customWidth="1"/>
    <col min="24" max="24" width="1.88671875" customWidth="1"/>
    <col min="25" max="25" width="1.6640625" customWidth="1"/>
  </cols>
  <sheetData>
    <row r="2" spans="2:25" ht="33">
      <c r="G2" s="1" t="s">
        <v>4</v>
      </c>
      <c r="H2" s="1"/>
    </row>
    <row r="3" spans="2:25">
      <c r="B3" t="str">
        <f>W!A861</f>
        <v xml:space="preserve"> This is a history quarter</v>
      </c>
      <c r="V3" s="2" t="s">
        <v>5</v>
      </c>
      <c r="W3" s="3" t="str">
        <f>W!A6</f>
        <v xml:space="preserve">  26C1</v>
      </c>
    </row>
    <row r="4" spans="2:25">
      <c r="B4">
        <f>W!A862</f>
        <v>0</v>
      </c>
    </row>
    <row r="5" spans="2:25" ht="17.399999999999999">
      <c r="B5">
        <f>W!A863</f>
        <v>0</v>
      </c>
      <c r="H5" s="4" t="s">
        <v>6</v>
      </c>
      <c r="J5" s="5"/>
      <c r="K5" s="5"/>
      <c r="L5" s="5">
        <f>W!$A2</f>
        <v>0</v>
      </c>
      <c r="N5" s="4" t="s">
        <v>7</v>
      </c>
      <c r="O5" s="116">
        <f>W!$A1</f>
        <v>0</v>
      </c>
      <c r="P5" s="5"/>
      <c r="Q5" s="5"/>
      <c r="S5" s="6"/>
      <c r="T5" s="7"/>
      <c r="U5" s="6"/>
      <c r="V5" s="6"/>
    </row>
    <row r="6" spans="2:25">
      <c r="B6">
        <f>W!A864</f>
        <v>0</v>
      </c>
    </row>
    <row r="8" spans="2:25">
      <c r="B8" s="8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10"/>
    </row>
    <row r="9" spans="2:25" ht="24.6">
      <c r="B9" s="11"/>
      <c r="C9" s="3" t="s">
        <v>8</v>
      </c>
      <c r="G9" s="6"/>
      <c r="H9" s="12" t="s">
        <v>9</v>
      </c>
      <c r="I9" s="12"/>
      <c r="J9" s="12"/>
      <c r="O9" s="13" t="s">
        <v>10</v>
      </c>
      <c r="P9" s="14">
        <f>W!$A4</f>
        <v>2025</v>
      </c>
      <c r="Q9" s="7"/>
      <c r="R9" s="111" t="s">
        <v>11</v>
      </c>
      <c r="S9" s="14">
        <f>W!$A5</f>
        <v>2</v>
      </c>
      <c r="T9" s="13" t="s">
        <v>1</v>
      </c>
      <c r="U9" s="13" t="s">
        <v>1</v>
      </c>
      <c r="V9" s="14" t="s">
        <v>1</v>
      </c>
      <c r="W9" s="111" t="s">
        <v>1</v>
      </c>
      <c r="X9" s="6" t="s">
        <v>1</v>
      </c>
      <c r="Y9" s="15"/>
    </row>
    <row r="10" spans="2:25" ht="11.25" customHeight="1">
      <c r="B10" s="11"/>
      <c r="H10" s="12"/>
      <c r="I10" s="12"/>
      <c r="J10" s="12"/>
      <c r="O10" s="16"/>
      <c r="P10" s="6"/>
      <c r="Q10" s="7"/>
      <c r="R10" s="7"/>
      <c r="S10" s="14"/>
      <c r="X10" s="112"/>
      <c r="Y10" s="15"/>
    </row>
    <row r="11" spans="2:25" ht="12.75" customHeight="1">
      <c r="B11" s="11"/>
      <c r="C11" s="17"/>
      <c r="D11" s="17"/>
      <c r="E11" s="17"/>
      <c r="F11" s="17"/>
      <c r="G11" s="17"/>
      <c r="H11" s="17"/>
      <c r="I11" s="17"/>
      <c r="J11" s="18"/>
      <c r="K11" s="17"/>
      <c r="L11" s="17"/>
      <c r="M11" s="17"/>
      <c r="N11" s="17"/>
      <c r="O11" s="19"/>
      <c r="P11" s="20"/>
      <c r="Q11" s="17"/>
      <c r="R11" s="19"/>
      <c r="S11" s="21"/>
      <c r="T11" s="17"/>
      <c r="U11" s="17"/>
      <c r="V11" s="17"/>
      <c r="W11" s="17"/>
      <c r="X11" s="17"/>
      <c r="Y11" s="22"/>
    </row>
    <row r="12" spans="2:25">
      <c r="B12" s="11"/>
      <c r="C12" s="17"/>
      <c r="D12" s="17"/>
      <c r="E12" s="23" t="s">
        <v>12</v>
      </c>
      <c r="F12" s="24" t="s">
        <v>13</v>
      </c>
      <c r="G12" s="25">
        <v>1</v>
      </c>
      <c r="H12" s="24" t="s">
        <v>13</v>
      </c>
      <c r="I12" s="25">
        <v>2</v>
      </c>
      <c r="J12" s="24" t="s">
        <v>13</v>
      </c>
      <c r="K12" s="25">
        <v>3</v>
      </c>
      <c r="L12" s="17"/>
      <c r="M12" s="26"/>
      <c r="N12" s="26"/>
      <c r="O12" s="26"/>
      <c r="P12" s="27" t="s">
        <v>14</v>
      </c>
      <c r="Q12" s="28"/>
      <c r="R12" s="29"/>
      <c r="S12" s="17"/>
      <c r="T12" s="30" t="s">
        <v>15</v>
      </c>
      <c r="U12" s="31"/>
      <c r="V12" s="26"/>
      <c r="W12" s="27" t="s">
        <v>16</v>
      </c>
      <c r="X12" s="28"/>
      <c r="Y12" s="22"/>
    </row>
    <row r="13" spans="2:25">
      <c r="B13" s="11"/>
      <c r="C13" s="21" t="s">
        <v>308</v>
      </c>
      <c r="D13" s="17"/>
      <c r="E13" s="32"/>
      <c r="F13" s="24"/>
      <c r="G13" s="17"/>
      <c r="H13" s="24"/>
      <c r="I13" s="17"/>
      <c r="J13" s="24"/>
      <c r="K13" s="33"/>
      <c r="L13" s="17"/>
      <c r="M13" s="21" t="s">
        <v>17</v>
      </c>
      <c r="N13" s="26"/>
      <c r="O13" s="26"/>
      <c r="P13" s="34" t="s">
        <v>18</v>
      </c>
      <c r="Q13" s="35"/>
      <c r="R13" s="36"/>
      <c r="S13" s="17"/>
      <c r="T13" s="34" t="s">
        <v>307</v>
      </c>
      <c r="U13" s="37"/>
      <c r="V13" s="32"/>
      <c r="W13" s="38" t="s">
        <v>0</v>
      </c>
      <c r="X13" s="39"/>
      <c r="Y13" s="22"/>
    </row>
    <row r="14" spans="2:25">
      <c r="B14" s="11"/>
      <c r="C14" s="17"/>
      <c r="D14" s="17" t="s">
        <v>297</v>
      </c>
      <c r="E14" s="40">
        <f>W!A7</f>
        <v>15</v>
      </c>
      <c r="F14" s="41">
        <f>W!A11</f>
        <v>10</v>
      </c>
      <c r="G14" s="42"/>
      <c r="H14" s="41">
        <f>W!A14</f>
        <v>10</v>
      </c>
      <c r="I14" s="43"/>
      <c r="J14" s="41">
        <f>W!A17</f>
        <v>10</v>
      </c>
      <c r="K14" s="43"/>
      <c r="L14" s="17"/>
      <c r="M14" s="17" t="s">
        <v>298</v>
      </c>
      <c r="N14" s="17"/>
      <c r="O14" s="26"/>
      <c r="P14" s="44">
        <f>W!A61</f>
        <v>3</v>
      </c>
      <c r="Q14" s="45">
        <f>W!B61</f>
        <v>0</v>
      </c>
      <c r="R14" s="36"/>
      <c r="S14" s="17"/>
      <c r="T14" s="44">
        <f>W!A62</f>
        <v>9</v>
      </c>
      <c r="U14" s="45">
        <f>W!B62</f>
        <v>0</v>
      </c>
      <c r="V14" s="17"/>
      <c r="W14" s="44">
        <f>W!A63</f>
        <v>7</v>
      </c>
      <c r="X14" s="46"/>
      <c r="Y14" s="22"/>
    </row>
    <row r="15" spans="2:25">
      <c r="B15" s="11"/>
      <c r="C15" s="17"/>
      <c r="D15" s="17" t="s">
        <v>322</v>
      </c>
      <c r="E15" s="47">
        <f>W!A8</f>
        <v>0</v>
      </c>
      <c r="F15" s="41">
        <f>W!A12</f>
        <v>0</v>
      </c>
      <c r="G15" s="48"/>
      <c r="H15" s="41">
        <f>W!A15</f>
        <v>0</v>
      </c>
      <c r="I15" s="49"/>
      <c r="J15" s="41">
        <f>W!A18</f>
        <v>0</v>
      </c>
      <c r="K15" s="49"/>
      <c r="L15" s="17"/>
      <c r="M15" s="17" t="s">
        <v>324</v>
      </c>
      <c r="N15" s="17"/>
      <c r="O15" s="26"/>
      <c r="P15" s="38">
        <f>W!A64</f>
        <v>0</v>
      </c>
      <c r="Q15" s="35">
        <f>W!B64</f>
        <v>0</v>
      </c>
      <c r="R15" s="36"/>
      <c r="S15" s="17"/>
      <c r="T15" s="50">
        <f>W!A65</f>
        <v>0</v>
      </c>
      <c r="U15" s="51" t="str">
        <f>W!B65</f>
        <v>*</v>
      </c>
      <c r="V15" s="17"/>
      <c r="W15" s="52">
        <f>W!A66</f>
        <v>0</v>
      </c>
      <c r="X15" s="51"/>
      <c r="Y15" s="22"/>
    </row>
    <row r="16" spans="2:25">
      <c r="B16" s="11"/>
      <c r="C16" s="17"/>
      <c r="D16" s="17" t="s">
        <v>19</v>
      </c>
      <c r="E16" s="53">
        <f>W!A9</f>
        <v>0</v>
      </c>
      <c r="F16" s="54">
        <f>W!A13</f>
        <v>0</v>
      </c>
      <c r="G16" s="55"/>
      <c r="H16" s="54">
        <f>W!A16</f>
        <v>0</v>
      </c>
      <c r="I16" s="35"/>
      <c r="J16" s="54">
        <f>W!A19</f>
        <v>0</v>
      </c>
      <c r="K16" s="35"/>
      <c r="L16" s="17"/>
      <c r="M16" s="17" t="s">
        <v>20</v>
      </c>
      <c r="N16" s="17"/>
      <c r="O16" s="26"/>
      <c r="P16" s="32"/>
      <c r="Q16" s="26"/>
      <c r="R16" s="26"/>
      <c r="S16" s="17"/>
      <c r="T16" s="38">
        <f>W!A68</f>
        <v>0</v>
      </c>
      <c r="U16" s="56" t="str">
        <f>W!B68</f>
        <v>*</v>
      </c>
      <c r="V16" s="17"/>
      <c r="W16" s="57">
        <f>W!A69</f>
        <v>0</v>
      </c>
      <c r="X16" s="56"/>
      <c r="Y16" s="22"/>
    </row>
    <row r="17" spans="2:25">
      <c r="B17" s="11"/>
      <c r="C17" s="17"/>
      <c r="D17" s="17"/>
      <c r="E17" s="41"/>
      <c r="F17" s="41"/>
      <c r="G17" s="36"/>
      <c r="H17" s="41"/>
      <c r="I17" s="36"/>
      <c r="J17" s="41"/>
      <c r="K17" s="36"/>
      <c r="L17" s="17"/>
      <c r="M17" s="26"/>
      <c r="N17" s="26"/>
      <c r="O17" s="26"/>
      <c r="P17" s="32"/>
      <c r="Q17" s="26"/>
      <c r="R17" s="26"/>
      <c r="S17" s="17"/>
      <c r="T17" s="41"/>
      <c r="U17" s="36"/>
      <c r="V17" s="17"/>
      <c r="W17" s="58"/>
      <c r="X17" s="36"/>
      <c r="Y17" s="22"/>
    </row>
    <row r="18" spans="2:25">
      <c r="B18" s="11"/>
      <c r="C18" s="21" t="s">
        <v>309</v>
      </c>
      <c r="D18" s="17"/>
      <c r="E18" s="17"/>
      <c r="F18" s="17"/>
      <c r="G18" s="59"/>
      <c r="H18" s="17"/>
      <c r="I18" s="17"/>
      <c r="J18" s="17"/>
      <c r="K18" s="17"/>
      <c r="L18" s="17"/>
      <c r="M18" s="20" t="s">
        <v>21</v>
      </c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36"/>
      <c r="Y18" s="22"/>
    </row>
    <row r="19" spans="2:25">
      <c r="B19" s="11"/>
      <c r="C19" s="17"/>
      <c r="D19" s="17" t="s">
        <v>297</v>
      </c>
      <c r="E19" s="17"/>
      <c r="F19" s="44">
        <f>W!A21</f>
        <v>285</v>
      </c>
      <c r="G19" s="51">
        <f>W!B21</f>
        <v>0</v>
      </c>
      <c r="H19" s="60">
        <f>W!A24</f>
        <v>450</v>
      </c>
      <c r="I19" s="45">
        <f>W!B24</f>
        <v>0</v>
      </c>
      <c r="J19" s="60">
        <f>W!A27</f>
        <v>680</v>
      </c>
      <c r="K19" s="45">
        <f>W!B27</f>
        <v>0</v>
      </c>
      <c r="L19" s="17"/>
      <c r="M19" s="97" t="s">
        <v>22</v>
      </c>
      <c r="N19" s="26"/>
      <c r="O19" s="110" t="s">
        <v>23</v>
      </c>
      <c r="P19" s="61">
        <f>W!A57</f>
        <v>0</v>
      </c>
      <c r="Q19" s="62"/>
      <c r="R19" s="26"/>
      <c r="S19" s="97" t="s">
        <v>24</v>
      </c>
      <c r="T19" s="63">
        <f>W!A58</f>
        <v>2</v>
      </c>
      <c r="U19" s="62"/>
      <c r="V19" s="110" t="s">
        <v>25</v>
      </c>
      <c r="W19" s="61">
        <f>W!A59</f>
        <v>0</v>
      </c>
      <c r="X19" s="64"/>
      <c r="Y19" s="22"/>
    </row>
    <row r="20" spans="2:25">
      <c r="B20" s="11"/>
      <c r="C20" s="17"/>
      <c r="D20" s="17" t="s">
        <v>322</v>
      </c>
      <c r="E20" s="17"/>
      <c r="F20" s="50">
        <f>W!A22</f>
        <v>0</v>
      </c>
      <c r="G20" s="51">
        <f>W!B22</f>
        <v>0</v>
      </c>
      <c r="H20" s="41">
        <f>W!A25</f>
        <v>0</v>
      </c>
      <c r="I20" s="51">
        <f>W!B25</f>
        <v>0</v>
      </c>
      <c r="J20" s="41">
        <f>W!A28</f>
        <v>0</v>
      </c>
      <c r="K20" s="51">
        <f>W!B28</f>
        <v>0</v>
      </c>
      <c r="L20" s="17"/>
      <c r="M20" s="78" t="s">
        <v>26</v>
      </c>
      <c r="N20" s="17"/>
      <c r="O20" s="17"/>
      <c r="P20" s="50">
        <f>W!A75</f>
        <v>15</v>
      </c>
      <c r="Q20" s="22"/>
      <c r="R20" s="17"/>
      <c r="S20" s="97" t="s">
        <v>27</v>
      </c>
      <c r="T20" s="65"/>
      <c r="U20" s="66"/>
      <c r="V20" s="65"/>
      <c r="W20" s="50">
        <f>W!A76</f>
        <v>2</v>
      </c>
      <c r="X20" s="46"/>
      <c r="Y20" s="22"/>
    </row>
    <row r="21" spans="2:25">
      <c r="B21" s="11"/>
      <c r="C21" s="17"/>
      <c r="D21" s="17" t="s">
        <v>19</v>
      </c>
      <c r="E21" s="17"/>
      <c r="F21" s="38">
        <f>W!A23</f>
        <v>0</v>
      </c>
      <c r="G21" s="56">
        <f>W!B23</f>
        <v>0</v>
      </c>
      <c r="H21" s="54">
        <f>W!A26</f>
        <v>0</v>
      </c>
      <c r="I21" s="56">
        <f>W!B26</f>
        <v>0</v>
      </c>
      <c r="J21" s="54">
        <f>W!A29</f>
        <v>0</v>
      </c>
      <c r="K21" s="56">
        <f>W!B29</f>
        <v>0</v>
      </c>
      <c r="L21" s="17"/>
      <c r="M21" s="97" t="s">
        <v>28</v>
      </c>
      <c r="N21" s="17"/>
      <c r="O21" s="26"/>
      <c r="P21" s="38">
        <f>W!A77</f>
        <v>0</v>
      </c>
      <c r="Q21" s="67"/>
      <c r="R21" s="41"/>
      <c r="S21" s="97" t="s">
        <v>306</v>
      </c>
      <c r="T21" s="26"/>
      <c r="U21" s="26"/>
      <c r="V21" s="26"/>
      <c r="W21" s="38">
        <f>W!A78</f>
        <v>0</v>
      </c>
      <c r="X21" s="68"/>
      <c r="Y21" s="22"/>
    </row>
    <row r="22" spans="2:25">
      <c r="B22" s="11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22"/>
    </row>
    <row r="23" spans="2:25">
      <c r="B23" s="11"/>
      <c r="C23" s="21" t="s">
        <v>29</v>
      </c>
      <c r="D23" s="17"/>
      <c r="E23" s="17"/>
      <c r="F23" s="17"/>
      <c r="G23" s="17"/>
      <c r="H23" s="17"/>
      <c r="I23" s="17"/>
      <c r="J23" s="17"/>
      <c r="K23" s="17"/>
      <c r="L23" s="17"/>
      <c r="M23" s="21" t="s">
        <v>30</v>
      </c>
      <c r="N23" s="17"/>
      <c r="O23" s="26"/>
      <c r="P23" s="17"/>
      <c r="Q23" s="54"/>
      <c r="R23" s="41"/>
      <c r="S23" s="17"/>
      <c r="T23" s="26"/>
      <c r="U23" s="26"/>
      <c r="V23" s="26"/>
      <c r="W23" s="41"/>
      <c r="X23" s="36"/>
      <c r="Y23" s="22"/>
    </row>
    <row r="24" spans="2:25">
      <c r="B24" s="11"/>
      <c r="C24" s="17" t="s">
        <v>298</v>
      </c>
      <c r="D24" s="17"/>
      <c r="E24" s="17"/>
      <c r="F24" s="44">
        <f>W!A31</f>
        <v>750</v>
      </c>
      <c r="G24" s="45">
        <f>W!B31</f>
        <v>0</v>
      </c>
      <c r="H24" s="60">
        <f>W!A34</f>
        <v>500</v>
      </c>
      <c r="I24" s="45">
        <f>W!B34</f>
        <v>0</v>
      </c>
      <c r="J24" s="60">
        <f>W!A37</f>
        <v>335</v>
      </c>
      <c r="K24" s="45">
        <f>W!B37</f>
        <v>0</v>
      </c>
      <c r="L24" s="17"/>
      <c r="M24" s="97" t="s">
        <v>31</v>
      </c>
      <c r="N24" s="26"/>
      <c r="O24" s="26"/>
      <c r="P24" s="44">
        <f>W!A81</f>
        <v>0</v>
      </c>
      <c r="Q24" s="51">
        <f>W!B81</f>
        <v>0</v>
      </c>
      <c r="R24" s="41"/>
      <c r="S24" s="97" t="s">
        <v>32</v>
      </c>
      <c r="T24" s="26"/>
      <c r="U24" s="26"/>
      <c r="V24" s="26"/>
      <c r="W24" s="61">
        <f>W!A82</f>
        <v>3</v>
      </c>
      <c r="X24" s="64">
        <f>W!B82</f>
        <v>0</v>
      </c>
      <c r="Y24" s="22"/>
    </row>
    <row r="25" spans="2:25">
      <c r="B25" s="11"/>
      <c r="C25" s="17" t="s">
        <v>324</v>
      </c>
      <c r="D25" s="17"/>
      <c r="E25" s="17"/>
      <c r="F25" s="50">
        <f>W!A32</f>
        <v>0</v>
      </c>
      <c r="G25" s="51">
        <f>W!B32</f>
        <v>0</v>
      </c>
      <c r="H25" s="41">
        <f>W!A35</f>
        <v>0</v>
      </c>
      <c r="I25" s="51">
        <f>W!B35</f>
        <v>0</v>
      </c>
      <c r="J25" s="41">
        <f>W!A38</f>
        <v>0</v>
      </c>
      <c r="K25" s="51">
        <f>W!B38</f>
        <v>0</v>
      </c>
      <c r="L25" s="17"/>
      <c r="M25" s="97" t="s">
        <v>33</v>
      </c>
      <c r="N25" s="26"/>
      <c r="O25" s="26"/>
      <c r="P25" s="69">
        <f>W!A83/100</f>
        <v>10</v>
      </c>
      <c r="Q25" s="51">
        <f>W!B83</f>
        <v>0</v>
      </c>
      <c r="R25" s="41"/>
      <c r="S25" s="17"/>
      <c r="T25" s="26"/>
      <c r="U25" s="26"/>
      <c r="V25" s="26"/>
      <c r="W25" s="41"/>
      <c r="X25" s="29"/>
      <c r="Y25" s="22"/>
    </row>
    <row r="26" spans="2:25">
      <c r="B26" s="11"/>
      <c r="C26" s="17" t="s">
        <v>20</v>
      </c>
      <c r="D26" s="17"/>
      <c r="E26" s="17"/>
      <c r="F26" s="38">
        <f>W!A33</f>
        <v>0</v>
      </c>
      <c r="G26" s="56">
        <f>W!B33</f>
        <v>0</v>
      </c>
      <c r="H26" s="54">
        <f>W!A36</f>
        <v>0</v>
      </c>
      <c r="I26" s="56">
        <f>W!B36</f>
        <v>0</v>
      </c>
      <c r="J26" s="38">
        <f>W!A39</f>
        <v>0</v>
      </c>
      <c r="K26" s="56">
        <f>W!B39</f>
        <v>0</v>
      </c>
      <c r="L26" s="17"/>
      <c r="M26" s="97" t="s">
        <v>310</v>
      </c>
      <c r="N26" s="26"/>
      <c r="O26" s="26"/>
      <c r="P26" s="38">
        <f>W!A85</f>
        <v>60</v>
      </c>
      <c r="Q26" s="56">
        <f>W!B85</f>
        <v>0</v>
      </c>
      <c r="R26" s="70"/>
      <c r="S26" s="97" t="s">
        <v>34</v>
      </c>
      <c r="T26" s="17"/>
      <c r="U26" s="26"/>
      <c r="V26" s="26"/>
      <c r="W26" s="61">
        <f>W!A86</f>
        <v>2</v>
      </c>
      <c r="X26" s="71">
        <f>W!B86</f>
        <v>0</v>
      </c>
      <c r="Y26" s="22"/>
    </row>
    <row r="27" spans="2:25">
      <c r="B27" s="11"/>
      <c r="C27" s="17"/>
      <c r="D27" s="117" t="s">
        <v>35</v>
      </c>
      <c r="E27" s="17"/>
      <c r="F27" s="17"/>
      <c r="G27" s="65"/>
      <c r="H27" s="41"/>
      <c r="I27" s="36"/>
      <c r="J27" s="41"/>
      <c r="K27" s="65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36"/>
      <c r="Y27" s="22"/>
    </row>
    <row r="28" spans="2:25">
      <c r="B28" s="11"/>
      <c r="C28" s="20" t="s">
        <v>36</v>
      </c>
      <c r="D28" s="17"/>
      <c r="E28" s="17"/>
      <c r="F28" s="17"/>
      <c r="G28" s="17"/>
      <c r="H28" s="17"/>
      <c r="I28" s="17"/>
      <c r="J28" s="17"/>
      <c r="K28" s="17"/>
      <c r="L28" s="17"/>
      <c r="M28" s="21" t="s">
        <v>37</v>
      </c>
      <c r="N28" s="17"/>
      <c r="O28" s="17"/>
      <c r="P28" s="17"/>
      <c r="Q28" s="72"/>
      <c r="R28" s="26"/>
      <c r="S28" s="17"/>
      <c r="T28" s="26"/>
      <c r="U28" s="26"/>
      <c r="V28" s="26"/>
      <c r="W28" s="26"/>
      <c r="X28" s="29"/>
      <c r="Y28" s="22"/>
    </row>
    <row r="29" spans="2:25">
      <c r="B29" s="11"/>
      <c r="C29" s="17" t="s">
        <v>38</v>
      </c>
      <c r="D29" s="17"/>
      <c r="E29" s="41"/>
      <c r="F29" s="44">
        <f>W!A41</f>
        <v>0</v>
      </c>
      <c r="G29" s="43"/>
      <c r="H29" s="60">
        <f>W!A42</f>
        <v>0</v>
      </c>
      <c r="I29" s="43"/>
      <c r="J29" s="60">
        <f>W!A43</f>
        <v>0</v>
      </c>
      <c r="K29" s="73"/>
      <c r="L29" s="17"/>
      <c r="M29" s="97" t="s">
        <v>39</v>
      </c>
      <c r="N29" s="26"/>
      <c r="O29" s="26"/>
      <c r="P29" s="44">
        <f>W!A91</f>
        <v>0</v>
      </c>
      <c r="Q29" s="51">
        <f>W!B91</f>
        <v>0</v>
      </c>
      <c r="R29" s="41"/>
      <c r="S29" s="97" t="s">
        <v>40</v>
      </c>
      <c r="T29" s="26"/>
      <c r="U29" s="26"/>
      <c r="V29" s="26"/>
      <c r="W29" s="44">
        <f>W!A92</f>
        <v>0</v>
      </c>
      <c r="X29" s="45">
        <f>W!B92</f>
        <v>0</v>
      </c>
      <c r="Y29" s="22"/>
    </row>
    <row r="30" spans="2:25">
      <c r="B30" s="11"/>
      <c r="C30" s="17" t="s">
        <v>305</v>
      </c>
      <c r="D30" s="17"/>
      <c r="E30" s="41"/>
      <c r="F30" s="50">
        <f>W!A44</f>
        <v>25</v>
      </c>
      <c r="G30" s="49"/>
      <c r="H30" s="41">
        <f>W!A45</f>
        <v>20</v>
      </c>
      <c r="I30" s="49"/>
      <c r="J30" s="41">
        <f>W!A46</f>
        <v>15</v>
      </c>
      <c r="K30" s="22"/>
      <c r="L30" s="17"/>
      <c r="M30" s="97" t="s">
        <v>311</v>
      </c>
      <c r="N30" s="26"/>
      <c r="O30" s="26"/>
      <c r="P30" s="50">
        <f>W!A93</f>
        <v>0</v>
      </c>
      <c r="Q30" s="51">
        <f>W!B93</f>
        <v>0</v>
      </c>
      <c r="R30" s="41"/>
      <c r="S30" s="78" t="s">
        <v>312</v>
      </c>
      <c r="T30" s="26"/>
      <c r="U30" s="26"/>
      <c r="V30" s="26"/>
      <c r="W30" s="50">
        <f>W!A94</f>
        <v>-500</v>
      </c>
      <c r="X30" s="51">
        <f>W!B94</f>
        <v>0</v>
      </c>
      <c r="Y30" s="22"/>
    </row>
    <row r="31" spans="2:25">
      <c r="B31" s="11"/>
      <c r="C31" s="17" t="s">
        <v>41</v>
      </c>
      <c r="D31" s="17"/>
      <c r="E31" s="17"/>
      <c r="F31" s="50">
        <f>W!A47</f>
        <v>115</v>
      </c>
      <c r="G31" s="46"/>
      <c r="H31" s="50">
        <f>W!A48</f>
        <v>165</v>
      </c>
      <c r="I31" s="46"/>
      <c r="J31" s="50">
        <f>W!A49</f>
        <v>325</v>
      </c>
      <c r="K31" s="46"/>
      <c r="L31" s="17"/>
      <c r="M31" s="97" t="s">
        <v>42</v>
      </c>
      <c r="N31" s="26"/>
      <c r="O31" s="26"/>
      <c r="P31" s="50">
        <f>W!A73</f>
        <v>2</v>
      </c>
      <c r="Q31" s="51">
        <f>W!B73</f>
        <v>0</v>
      </c>
      <c r="R31" s="41"/>
      <c r="S31" s="97" t="s">
        <v>43</v>
      </c>
      <c r="T31" s="26"/>
      <c r="U31" s="26"/>
      <c r="V31" s="26"/>
      <c r="W31" s="50">
        <f>W!A74</f>
        <v>0</v>
      </c>
      <c r="X31" s="51">
        <f>W!B74</f>
        <v>0</v>
      </c>
      <c r="Y31" s="22"/>
    </row>
    <row r="32" spans="2:25">
      <c r="B32" s="11"/>
      <c r="C32" s="17" t="s">
        <v>44</v>
      </c>
      <c r="D32" s="17"/>
      <c r="E32" s="41"/>
      <c r="F32" s="38">
        <f>W!A51</f>
        <v>0</v>
      </c>
      <c r="G32" s="56">
        <f>W!B51</f>
        <v>0</v>
      </c>
      <c r="H32" s="54">
        <f>W!A52</f>
        <v>0</v>
      </c>
      <c r="I32" s="56">
        <f>W!B52</f>
        <v>0</v>
      </c>
      <c r="J32" s="54">
        <f>W!A53</f>
        <v>0</v>
      </c>
      <c r="K32" s="56">
        <f>W!B53</f>
        <v>0</v>
      </c>
      <c r="L32" s="17"/>
      <c r="M32" s="97" t="s">
        <v>45</v>
      </c>
      <c r="N32" s="26"/>
      <c r="O32" s="26"/>
      <c r="P32" s="38">
        <f>W!A72</f>
        <v>0</v>
      </c>
      <c r="Q32" s="56">
        <f>W!B72</f>
        <v>0</v>
      </c>
      <c r="R32" s="41"/>
      <c r="S32" s="97" t="s">
        <v>46</v>
      </c>
      <c r="T32" s="26"/>
      <c r="U32" s="26"/>
      <c r="V32" s="26"/>
      <c r="W32" s="38">
        <f>W!A99</f>
        <v>1</v>
      </c>
      <c r="X32" s="35"/>
      <c r="Y32" s="22"/>
    </row>
    <row r="33" spans="2:25">
      <c r="B33" s="11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26"/>
      <c r="N33" s="26"/>
      <c r="O33" s="26"/>
      <c r="P33" s="41"/>
      <c r="Q33" s="41"/>
      <c r="R33" s="41"/>
      <c r="S33" s="26"/>
      <c r="T33" s="26"/>
      <c r="U33" s="26"/>
      <c r="V33" s="26"/>
      <c r="W33" s="17"/>
      <c r="X33" s="26"/>
      <c r="Y33" s="22"/>
    </row>
    <row r="34" spans="2:25">
      <c r="B34" s="11"/>
      <c r="C34" s="20" t="s">
        <v>47</v>
      </c>
      <c r="D34" s="17"/>
      <c r="E34" s="17"/>
      <c r="F34" s="17"/>
      <c r="G34" s="59"/>
      <c r="H34" s="17"/>
      <c r="I34" s="59"/>
      <c r="J34" s="17"/>
      <c r="K34" s="59"/>
      <c r="L34" s="17"/>
      <c r="M34" s="21" t="s">
        <v>48</v>
      </c>
      <c r="N34" s="26"/>
      <c r="O34" s="26"/>
      <c r="P34" s="41"/>
      <c r="Q34" s="41"/>
      <c r="R34" s="41"/>
      <c r="S34" s="26"/>
      <c r="T34" s="26"/>
      <c r="U34" s="26"/>
      <c r="V34" s="26"/>
      <c r="W34" s="17"/>
      <c r="X34" s="26"/>
      <c r="Y34" s="22"/>
    </row>
    <row r="35" spans="2:25">
      <c r="B35" s="11"/>
      <c r="C35" s="26" t="s">
        <v>49</v>
      </c>
      <c r="D35" s="17"/>
      <c r="E35" s="17"/>
      <c r="F35" s="63">
        <f>W!A54</f>
        <v>0</v>
      </c>
      <c r="G35" s="74">
        <f>W!B54</f>
        <v>0</v>
      </c>
      <c r="H35" s="33">
        <f>W!A55</f>
        <v>0</v>
      </c>
      <c r="I35" s="74">
        <f>W!B55</f>
        <v>0</v>
      </c>
      <c r="J35" s="33">
        <f>W!A56</f>
        <v>0</v>
      </c>
      <c r="K35" s="74">
        <f>W!B56</f>
        <v>0</v>
      </c>
      <c r="L35" s="17"/>
      <c r="M35" s="26" t="s">
        <v>50</v>
      </c>
      <c r="N35" s="26"/>
      <c r="O35" s="26"/>
      <c r="P35" s="61">
        <f>W!A97</f>
        <v>0</v>
      </c>
      <c r="Q35" s="75"/>
      <c r="R35" s="26"/>
      <c r="S35" s="26" t="s">
        <v>51</v>
      </c>
      <c r="T35" s="26"/>
      <c r="U35" s="26"/>
      <c r="V35" s="26"/>
      <c r="W35" s="61">
        <f>W!A98</f>
        <v>1</v>
      </c>
      <c r="X35" s="75"/>
      <c r="Y35" s="22"/>
    </row>
    <row r="36" spans="2:25">
      <c r="B36" s="76"/>
      <c r="C36" s="72"/>
      <c r="D36" s="72"/>
      <c r="E36" s="72"/>
      <c r="F36" s="72"/>
      <c r="G36" s="77"/>
      <c r="H36" s="72"/>
      <c r="I36" s="77"/>
      <c r="J36" s="72"/>
      <c r="K36" s="72"/>
      <c r="L36" s="59"/>
      <c r="M36" s="59"/>
      <c r="N36" s="59"/>
      <c r="O36" s="59"/>
      <c r="P36" s="59"/>
      <c r="Q36" s="59"/>
      <c r="R36" s="59"/>
      <c r="S36" s="59"/>
      <c r="T36" s="59"/>
      <c r="U36" s="59"/>
      <c r="V36" s="59"/>
      <c r="W36" s="59"/>
      <c r="X36" s="59"/>
      <c r="Y36" s="68"/>
    </row>
    <row r="37" spans="2:25" ht="35.4" customHeight="1">
      <c r="B37" s="168" t="s">
        <v>328</v>
      </c>
      <c r="C37" s="168"/>
      <c r="D37" s="168"/>
      <c r="E37" s="168"/>
      <c r="F37" s="168"/>
      <c r="G37" s="168"/>
      <c r="H37" s="168"/>
      <c r="I37" s="168"/>
      <c r="J37" s="168"/>
      <c r="K37" s="168"/>
      <c r="L37" s="168"/>
      <c r="M37" s="168"/>
      <c r="N37" s="168"/>
      <c r="O37" s="168"/>
      <c r="P37" s="168"/>
      <c r="Q37" s="168"/>
      <c r="R37" s="168"/>
      <c r="S37" s="168"/>
      <c r="T37" s="168"/>
      <c r="U37" s="168"/>
      <c r="V37" s="168"/>
      <c r="W37" s="168"/>
      <c r="X37" s="168"/>
      <c r="Y37" s="168"/>
    </row>
    <row r="38" spans="2:25">
      <c r="M38" s="110"/>
    </row>
    <row r="40" spans="2:25">
      <c r="M40" t="s">
        <v>1</v>
      </c>
    </row>
    <row r="41" spans="2:25">
      <c r="G41" s="79"/>
      <c r="H41" s="80"/>
      <c r="I41" s="81"/>
      <c r="J41" s="80"/>
      <c r="K41" s="79"/>
    </row>
    <row r="47" spans="2:25">
      <c r="M47" t="s">
        <v>1</v>
      </c>
    </row>
    <row r="50" spans="5:11">
      <c r="E50" s="80"/>
      <c r="F50" s="80"/>
      <c r="G50" s="81"/>
      <c r="H50" s="80"/>
      <c r="I50" s="81"/>
      <c r="J50" s="80"/>
      <c r="K50" s="79"/>
    </row>
    <row r="51" spans="5:11">
      <c r="K51" s="81"/>
    </row>
    <row r="52" spans="5:11">
      <c r="K52" s="81"/>
    </row>
    <row r="53" spans="5:11">
      <c r="K53" s="81"/>
    </row>
    <row r="54" spans="5:11">
      <c r="E54" s="80"/>
      <c r="F54" s="80"/>
      <c r="G54" s="81"/>
      <c r="H54" s="80"/>
      <c r="I54" s="81"/>
      <c r="J54" s="80"/>
      <c r="K54" s="81"/>
    </row>
    <row r="55" spans="5:11">
      <c r="E55" s="80"/>
      <c r="F55" s="80"/>
      <c r="G55" s="81"/>
      <c r="H55" s="80"/>
      <c r="I55" s="81"/>
      <c r="K55" s="79"/>
    </row>
  </sheetData>
  <mergeCells count="1">
    <mergeCell ref="B37:Y37"/>
  </mergeCells>
  <phoneticPr fontId="14" type="noConversion"/>
  <pageMargins left="0.94513888888888897" right="0.35416666666666669" top="0.59027777777777779" bottom="0.39374999999999999" header="0.51180555555555562" footer="0.51180555555555562"/>
  <pageSetup paperSize="9" firstPageNumber="0" orientation="landscape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AK51"/>
  <sheetViews>
    <sheetView showGridLines="0" workbookViewId="0"/>
  </sheetViews>
  <sheetFormatPr defaultColWidth="9.109375" defaultRowHeight="11.4"/>
  <cols>
    <col min="1" max="1" width="1.6640625" style="17" customWidth="1"/>
    <col min="2" max="2" width="1.33203125" style="17" customWidth="1"/>
    <col min="3" max="5" width="8.33203125" style="17" customWidth="1"/>
    <col min="6" max="6" width="6.88671875" style="17" customWidth="1"/>
    <col min="7" max="7" width="8.6640625" style="17" customWidth="1"/>
    <col min="8" max="8" width="1.88671875" style="17" customWidth="1"/>
    <col min="9" max="9" width="1.6640625" style="17" customWidth="1"/>
    <col min="10" max="10" width="1.33203125" style="17" customWidth="1"/>
    <col min="11" max="12" width="8.6640625" style="17" customWidth="1"/>
    <col min="13" max="13" width="8.33203125" style="17" customWidth="1"/>
    <col min="14" max="14" width="8.44140625" style="17" customWidth="1"/>
    <col min="15" max="15" width="8.5546875" style="17" customWidth="1"/>
    <col min="16" max="16" width="1.33203125" style="17" customWidth="1"/>
    <col min="17" max="17" width="2.5546875" style="17" customWidth="1"/>
    <col min="18" max="18" width="1.33203125" style="17" customWidth="1"/>
    <col min="19" max="19" width="9.33203125" style="17" customWidth="1"/>
    <col min="20" max="20" width="12.109375" style="17" customWidth="1"/>
    <col min="21" max="21" width="7.33203125" style="17" customWidth="1"/>
    <col min="22" max="22" width="1.88671875" style="17" customWidth="1"/>
    <col min="23" max="23" width="7.33203125" style="17" customWidth="1"/>
    <col min="24" max="24" width="2" style="17" customWidth="1"/>
    <col min="25" max="25" width="7.33203125" style="17" customWidth="1"/>
    <col min="26" max="26" width="1.44140625" style="17" customWidth="1"/>
    <col min="27" max="27" width="1" style="17" customWidth="1"/>
    <col min="28" max="28" width="9.109375" style="17"/>
    <col min="29" max="29" width="1.6640625" style="17" customWidth="1"/>
    <col min="30" max="30" width="9.109375" style="17"/>
    <col min="31" max="31" width="9.88671875" style="17" customWidth="1"/>
    <col min="32" max="32" width="9.109375" style="17"/>
    <col min="33" max="33" width="1.5546875" style="17" customWidth="1"/>
    <col min="34" max="34" width="9.109375" style="17"/>
    <col min="35" max="35" width="1.5546875" style="17" customWidth="1"/>
    <col min="36" max="16384" width="9.109375" style="17"/>
  </cols>
  <sheetData>
    <row r="1" spans="2:37" ht="15.6">
      <c r="D1" s="13" t="s">
        <v>7</v>
      </c>
      <c r="E1" s="14">
        <f>W!A1</f>
        <v>0</v>
      </c>
      <c r="F1" s="113" t="s">
        <v>52</v>
      </c>
      <c r="H1" s="14">
        <f>W!A2</f>
        <v>0</v>
      </c>
      <c r="M1" s="114" t="s">
        <v>53</v>
      </c>
      <c r="T1" s="13" t="s">
        <v>10</v>
      </c>
      <c r="U1" s="14">
        <f>W!A4</f>
        <v>2025</v>
      </c>
      <c r="V1" s="7"/>
      <c r="W1" s="111" t="s">
        <v>11</v>
      </c>
      <c r="X1" s="14">
        <f>W!A5</f>
        <v>2</v>
      </c>
    </row>
    <row r="2" spans="2:37" ht="12" customHeight="1">
      <c r="B2" s="59"/>
      <c r="C2" s="59"/>
      <c r="D2" s="59"/>
      <c r="E2" s="59"/>
      <c r="F2" s="59"/>
      <c r="G2" s="59"/>
      <c r="H2" s="59"/>
      <c r="J2" s="59"/>
      <c r="K2" s="59"/>
      <c r="L2" s="59"/>
      <c r="M2" s="59"/>
      <c r="N2" s="59"/>
      <c r="O2" s="59"/>
    </row>
    <row r="3" spans="2:37" ht="6.75" customHeight="1">
      <c r="B3" s="30"/>
      <c r="H3" s="73"/>
      <c r="J3" s="30"/>
      <c r="P3" s="73"/>
      <c r="R3" s="30"/>
      <c r="S3" s="66"/>
      <c r="T3" s="73"/>
      <c r="U3" s="66"/>
      <c r="V3" s="73"/>
      <c r="W3" s="66"/>
      <c r="X3" s="73"/>
      <c r="Y3" s="66"/>
      <c r="Z3" s="66"/>
      <c r="AA3" s="73"/>
    </row>
    <row r="4" spans="2:37" ht="12">
      <c r="B4" s="106"/>
      <c r="C4" s="21" t="s">
        <v>54</v>
      </c>
      <c r="H4" s="22"/>
      <c r="J4" s="106"/>
      <c r="K4" s="20" t="s">
        <v>55</v>
      </c>
      <c r="P4" s="22"/>
      <c r="R4" s="107"/>
      <c r="S4" s="82" t="s">
        <v>56</v>
      </c>
      <c r="T4" s="59"/>
      <c r="U4" s="118" t="s">
        <v>57</v>
      </c>
      <c r="V4" s="72"/>
      <c r="W4" s="118" t="s">
        <v>58</v>
      </c>
      <c r="X4" s="119"/>
      <c r="Y4" s="118" t="s">
        <v>59</v>
      </c>
      <c r="Z4" s="72"/>
      <c r="AA4" s="68"/>
      <c r="AD4" s="20"/>
      <c r="AF4" s="26"/>
      <c r="AG4" s="26"/>
      <c r="AH4" s="26"/>
      <c r="AI4" s="26"/>
      <c r="AJ4" s="26"/>
      <c r="AK4" s="26"/>
    </row>
    <row r="5" spans="2:37" ht="12">
      <c r="B5" s="106"/>
      <c r="C5" s="21"/>
      <c r="H5" s="22"/>
      <c r="J5" s="106"/>
      <c r="P5" s="22"/>
      <c r="R5" s="30"/>
      <c r="S5" s="83" t="s">
        <v>60</v>
      </c>
      <c r="T5" s="66"/>
      <c r="U5" s="30"/>
      <c r="V5" s="28"/>
      <c r="W5" s="66"/>
      <c r="X5" s="105"/>
      <c r="Y5" s="30"/>
      <c r="Z5" s="105"/>
      <c r="AA5" s="73"/>
      <c r="AD5" s="20"/>
      <c r="AG5" s="26"/>
      <c r="AI5" s="26"/>
      <c r="AK5" s="26"/>
    </row>
    <row r="6" spans="2:37" ht="12">
      <c r="B6" s="106"/>
      <c r="C6" s="20" t="s">
        <v>61</v>
      </c>
      <c r="G6" s="19" t="s">
        <v>62</v>
      </c>
      <c r="H6" s="22"/>
      <c r="J6" s="106"/>
      <c r="K6" s="20" t="s">
        <v>63</v>
      </c>
      <c r="L6" s="20"/>
      <c r="N6" s="120" t="s">
        <v>64</v>
      </c>
      <c r="O6" s="120" t="s">
        <v>65</v>
      </c>
      <c r="P6" s="22"/>
      <c r="R6" s="106"/>
      <c r="S6" s="78" t="s">
        <v>66</v>
      </c>
      <c r="U6" s="50">
        <f>W!A108</f>
        <v>750</v>
      </c>
      <c r="V6" s="121"/>
      <c r="W6" s="41">
        <f>W!A109</f>
        <v>500</v>
      </c>
      <c r="X6" s="26"/>
      <c r="Y6" s="50">
        <f>W!A110</f>
        <v>335</v>
      </c>
      <c r="Z6" s="26"/>
      <c r="AA6" s="22"/>
      <c r="AF6" s="41"/>
      <c r="AG6" s="26"/>
      <c r="AH6" s="41"/>
      <c r="AI6" s="26"/>
      <c r="AJ6" s="41"/>
      <c r="AK6" s="26"/>
    </row>
    <row r="7" spans="2:37">
      <c r="B7" s="106"/>
      <c r="C7" s="17" t="s">
        <v>67</v>
      </c>
      <c r="G7" s="17">
        <f>W!A281</f>
        <v>1000</v>
      </c>
      <c r="H7" s="22"/>
      <c r="J7" s="106"/>
      <c r="K7" s="17" t="s">
        <v>68</v>
      </c>
      <c r="N7" s="122">
        <f>W!A191</f>
        <v>11</v>
      </c>
      <c r="O7" s="122">
        <f>W!A192</f>
        <v>0</v>
      </c>
      <c r="P7" s="22"/>
      <c r="R7" s="106"/>
      <c r="S7" s="78" t="s">
        <v>69</v>
      </c>
      <c r="U7" s="50">
        <f>W!A111</f>
        <v>768</v>
      </c>
      <c r="V7" s="121"/>
      <c r="W7" s="41">
        <f>W!A112</f>
        <v>512</v>
      </c>
      <c r="X7" s="26"/>
      <c r="Y7" s="50">
        <f>W!A113</f>
        <v>343</v>
      </c>
      <c r="Z7" s="26"/>
      <c r="AA7" s="22"/>
      <c r="AF7" s="41"/>
      <c r="AG7" s="26"/>
      <c r="AH7" s="41"/>
      <c r="AI7" s="26"/>
      <c r="AJ7" s="41"/>
      <c r="AK7" s="26"/>
    </row>
    <row r="8" spans="2:37" ht="13.2">
      <c r="B8" s="106"/>
      <c r="C8" s="17" t="s">
        <v>70</v>
      </c>
      <c r="G8" s="17">
        <f>0.2*G7</f>
        <v>200</v>
      </c>
      <c r="H8" s="22"/>
      <c r="J8" s="106"/>
      <c r="K8" s="17" t="s">
        <v>71</v>
      </c>
      <c r="N8" s="122">
        <f>W!A193</f>
        <v>0</v>
      </c>
      <c r="O8" s="122">
        <f>W!A194</f>
        <v>16</v>
      </c>
      <c r="P8" s="22"/>
      <c r="R8" s="106"/>
      <c r="S8" s="78" t="s">
        <v>72</v>
      </c>
      <c r="U8" s="50">
        <f>W!A114</f>
        <v>18</v>
      </c>
      <c r="V8" s="121"/>
      <c r="W8" s="41">
        <f>W!A115</f>
        <v>12</v>
      </c>
      <c r="X8" s="26"/>
      <c r="Y8" s="50">
        <f>W!A116</f>
        <v>8</v>
      </c>
      <c r="Z8" s="26"/>
      <c r="AA8" s="22"/>
      <c r="AD8" s="167"/>
      <c r="AF8" s="41"/>
      <c r="AG8" s="26"/>
      <c r="AH8" s="41"/>
      <c r="AI8" s="26"/>
      <c r="AJ8" s="41"/>
      <c r="AK8" s="26"/>
    </row>
    <row r="9" spans="2:37">
      <c r="B9" s="106"/>
      <c r="C9" s="17" t="s">
        <v>73</v>
      </c>
      <c r="G9" s="17">
        <f>G7-G8-G10</f>
        <v>300</v>
      </c>
      <c r="H9" s="22"/>
      <c r="J9" s="106"/>
      <c r="K9" s="17" t="s">
        <v>74</v>
      </c>
      <c r="N9" s="122">
        <f>W!A82</f>
        <v>3</v>
      </c>
      <c r="O9" s="122"/>
      <c r="P9" s="22"/>
      <c r="R9" s="106"/>
      <c r="S9" s="78" t="s">
        <v>75</v>
      </c>
      <c r="U9" s="50">
        <f>W!A117</f>
        <v>0</v>
      </c>
      <c r="V9" s="123">
        <f>W!B117</f>
        <v>0</v>
      </c>
      <c r="W9" s="41">
        <f>W!A118</f>
        <v>0</v>
      </c>
      <c r="X9" s="29">
        <f>W!B118</f>
        <v>0</v>
      </c>
      <c r="Y9" s="50">
        <f>W!A119</f>
        <v>0</v>
      </c>
      <c r="Z9" s="29">
        <f>W!B119</f>
        <v>0</v>
      </c>
      <c r="AA9" s="22"/>
      <c r="AF9" s="41"/>
      <c r="AG9" s="29"/>
      <c r="AH9" s="41"/>
      <c r="AI9" s="29"/>
      <c r="AJ9" s="41"/>
      <c r="AK9" s="29"/>
    </row>
    <row r="10" spans="2:37">
      <c r="B10" s="106"/>
      <c r="C10" s="17" t="s">
        <v>76</v>
      </c>
      <c r="G10" s="17">
        <f>W!A284</f>
        <v>500</v>
      </c>
      <c r="H10" s="22"/>
      <c r="J10" s="106"/>
      <c r="K10" s="26" t="s">
        <v>77</v>
      </c>
      <c r="N10" s="122">
        <f>W!A195</f>
        <v>0</v>
      </c>
      <c r="O10" s="122">
        <f>W!A196</f>
        <v>0</v>
      </c>
      <c r="P10" s="22"/>
      <c r="R10" s="107"/>
      <c r="S10" s="59"/>
      <c r="T10" s="59"/>
      <c r="U10" s="107"/>
      <c r="V10" s="39"/>
      <c r="W10" s="59"/>
      <c r="X10" s="72"/>
      <c r="Y10" s="107"/>
      <c r="Z10" s="72"/>
      <c r="AA10" s="68"/>
      <c r="AG10" s="26"/>
      <c r="AI10" s="26"/>
      <c r="AK10" s="26"/>
    </row>
    <row r="11" spans="2:37" ht="12">
      <c r="B11" s="106"/>
      <c r="C11" s="17" t="s">
        <v>78</v>
      </c>
      <c r="G11" s="17">
        <f>0.25*G10</f>
        <v>125</v>
      </c>
      <c r="H11" s="22"/>
      <c r="J11" s="106"/>
      <c r="K11" s="26" t="s">
        <v>79</v>
      </c>
      <c r="N11" s="122">
        <f>N7+N8+N9-N10-N12</f>
        <v>0</v>
      </c>
      <c r="O11" s="122">
        <f>O7+O8+O9-O10-O12</f>
        <v>1</v>
      </c>
      <c r="P11" s="22"/>
      <c r="R11" s="30"/>
      <c r="S11" s="83" t="s">
        <v>80</v>
      </c>
      <c r="T11" s="83"/>
      <c r="U11" s="30"/>
      <c r="V11" s="28"/>
      <c r="W11" s="66"/>
      <c r="X11" s="105"/>
      <c r="Y11" s="30"/>
      <c r="Z11" s="105"/>
      <c r="AA11" s="73"/>
      <c r="AD11" s="20"/>
      <c r="AE11" s="20"/>
      <c r="AG11" s="26"/>
      <c r="AI11" s="26"/>
      <c r="AK11" s="26"/>
    </row>
    <row r="12" spans="2:37">
      <c r="B12" s="106"/>
      <c r="C12" s="17" t="s">
        <v>81</v>
      </c>
      <c r="F12" s="17" t="s">
        <v>1</v>
      </c>
      <c r="G12" s="17">
        <f>W!A285</f>
        <v>100</v>
      </c>
      <c r="H12" s="22"/>
      <c r="J12" s="106"/>
      <c r="K12" s="17" t="s">
        <v>82</v>
      </c>
      <c r="N12" s="124">
        <f>W!A197</f>
        <v>14</v>
      </c>
      <c r="O12" s="124">
        <f>W!A198</f>
        <v>15</v>
      </c>
      <c r="P12" s="22"/>
      <c r="R12" s="106"/>
      <c r="S12" s="26" t="s">
        <v>299</v>
      </c>
      <c r="U12" s="50">
        <f>W!A121</f>
        <v>750</v>
      </c>
      <c r="V12" s="121"/>
      <c r="W12" s="50">
        <f>W!A124</f>
        <v>500</v>
      </c>
      <c r="X12" s="26"/>
      <c r="Y12" s="50">
        <f>W!A127</f>
        <v>335</v>
      </c>
      <c r="Z12" s="26"/>
      <c r="AA12" s="22"/>
      <c r="AD12" s="26"/>
      <c r="AF12" s="41"/>
      <c r="AG12" s="26"/>
      <c r="AH12" s="41"/>
      <c r="AI12" s="26"/>
      <c r="AJ12" s="41"/>
      <c r="AK12" s="26"/>
    </row>
    <row r="13" spans="2:37">
      <c r="B13" s="106"/>
      <c r="C13" s="17" t="s">
        <v>83</v>
      </c>
      <c r="G13" s="17">
        <f>W!A286</f>
        <v>140</v>
      </c>
      <c r="H13" s="22"/>
      <c r="J13" s="107"/>
      <c r="K13" s="59"/>
      <c r="L13" s="59"/>
      <c r="M13" s="59"/>
      <c r="N13" s="59"/>
      <c r="O13" s="59"/>
      <c r="P13" s="68"/>
      <c r="R13" s="106"/>
      <c r="S13" s="84" t="s">
        <v>326</v>
      </c>
      <c r="U13" s="50">
        <f>W!A122</f>
        <v>0</v>
      </c>
      <c r="V13" s="121"/>
      <c r="W13" s="50">
        <f>W!A125</f>
        <v>0</v>
      </c>
      <c r="X13" s="26"/>
      <c r="Y13" s="50">
        <f>W!A128</f>
        <v>0</v>
      </c>
      <c r="Z13" s="26"/>
      <c r="AA13" s="22"/>
      <c r="AD13" s="84"/>
      <c r="AF13" s="41"/>
      <c r="AG13" s="26"/>
      <c r="AH13" s="41"/>
      <c r="AI13" s="26"/>
      <c r="AJ13" s="41"/>
      <c r="AK13" s="26"/>
    </row>
    <row r="14" spans="2:37">
      <c r="B14" s="106"/>
      <c r="C14" s="17" t="s">
        <v>84</v>
      </c>
      <c r="G14" s="125">
        <f>W!A287</f>
        <v>0</v>
      </c>
      <c r="H14" s="22"/>
      <c r="J14" s="106"/>
      <c r="O14" s="58"/>
      <c r="P14" s="22"/>
      <c r="R14" s="106"/>
      <c r="S14" s="26" t="s">
        <v>85</v>
      </c>
      <c r="U14" s="50">
        <f>W!A123</f>
        <v>0</v>
      </c>
      <c r="V14" s="121"/>
      <c r="W14" s="50">
        <f>W!A126</f>
        <v>0</v>
      </c>
      <c r="X14" s="26"/>
      <c r="Y14" s="50">
        <f>W!A129</f>
        <v>0</v>
      </c>
      <c r="Z14" s="26"/>
      <c r="AA14" s="22"/>
      <c r="AD14" s="26"/>
      <c r="AF14" s="41"/>
      <c r="AG14" s="26"/>
      <c r="AH14" s="41"/>
      <c r="AI14" s="26"/>
      <c r="AJ14" s="41"/>
      <c r="AK14" s="26"/>
    </row>
    <row r="15" spans="2:37" ht="12">
      <c r="B15" s="106"/>
      <c r="C15" s="26" t="s">
        <v>86</v>
      </c>
      <c r="G15" s="125">
        <f>G10-SUM(G11:G14)</f>
        <v>135</v>
      </c>
      <c r="H15" s="22"/>
      <c r="J15" s="106"/>
      <c r="K15" s="20" t="s">
        <v>87</v>
      </c>
      <c r="O15" s="126" t="s">
        <v>88</v>
      </c>
      <c r="P15" s="22"/>
      <c r="R15" s="107"/>
      <c r="S15" s="59"/>
      <c r="T15" s="59"/>
      <c r="U15" s="107"/>
      <c r="V15" s="39"/>
      <c r="W15" s="59"/>
      <c r="X15" s="72"/>
      <c r="Y15" s="107"/>
      <c r="Z15" s="72"/>
      <c r="AA15" s="68"/>
      <c r="AG15" s="26"/>
      <c r="AI15" s="26"/>
      <c r="AK15" s="26"/>
    </row>
    <row r="16" spans="2:37" ht="12">
      <c r="B16" s="106"/>
      <c r="H16" s="22"/>
      <c r="J16" s="106"/>
      <c r="K16" s="17" t="s">
        <v>89</v>
      </c>
      <c r="N16" s="41"/>
      <c r="O16" s="17">
        <f>W!A305</f>
        <v>6336</v>
      </c>
      <c r="P16" s="22"/>
      <c r="R16" s="30"/>
      <c r="S16" s="83" t="s">
        <v>90</v>
      </c>
      <c r="T16" s="83"/>
      <c r="U16" s="30"/>
      <c r="V16" s="28"/>
      <c r="W16" s="66"/>
      <c r="X16" s="105"/>
      <c r="Y16" s="30"/>
      <c r="Z16" s="105"/>
      <c r="AA16" s="73"/>
      <c r="AD16" s="20"/>
      <c r="AE16" s="20"/>
      <c r="AG16" s="26"/>
      <c r="AI16" s="26"/>
      <c r="AK16" s="26"/>
    </row>
    <row r="17" spans="2:37" ht="12">
      <c r="B17" s="106"/>
      <c r="C17" s="20" t="s">
        <v>91</v>
      </c>
      <c r="G17" s="19" t="s">
        <v>92</v>
      </c>
      <c r="H17" s="22"/>
      <c r="J17" s="106"/>
      <c r="K17" s="17" t="s">
        <v>93</v>
      </c>
      <c r="O17" s="17">
        <f>W!A306</f>
        <v>1</v>
      </c>
      <c r="P17" s="123">
        <f>W!B307</f>
        <v>0</v>
      </c>
      <c r="R17" s="106"/>
      <c r="S17" s="17" t="s">
        <v>300</v>
      </c>
      <c r="U17" s="50">
        <f>W!A131</f>
        <v>594</v>
      </c>
      <c r="V17" s="121"/>
      <c r="W17" s="50">
        <f>W!A134</f>
        <v>375</v>
      </c>
      <c r="X17" s="26"/>
      <c r="Y17" s="50">
        <f>W!A137</f>
        <v>210</v>
      </c>
      <c r="Z17" s="26"/>
      <c r="AA17" s="22"/>
      <c r="AF17" s="41"/>
      <c r="AG17" s="26"/>
      <c r="AH17" s="41"/>
      <c r="AI17" s="26"/>
      <c r="AJ17" s="41"/>
      <c r="AK17" s="26"/>
    </row>
    <row r="18" spans="2:37">
      <c r="B18" s="106"/>
      <c r="C18" s="78" t="s">
        <v>94</v>
      </c>
      <c r="F18" s="41"/>
      <c r="G18" s="41">
        <f>W!A291</f>
        <v>0</v>
      </c>
      <c r="H18" s="22"/>
      <c r="J18" s="106"/>
      <c r="K18" s="26" t="s">
        <v>95</v>
      </c>
      <c r="O18" s="17">
        <f>W!A307</f>
        <v>4737</v>
      </c>
      <c r="P18" s="22"/>
      <c r="R18" s="106"/>
      <c r="S18" s="85" t="s">
        <v>323</v>
      </c>
      <c r="U18" s="50">
        <f>W!A132</f>
        <v>0</v>
      </c>
      <c r="V18" s="121"/>
      <c r="W18" s="50">
        <f>W!A135</f>
        <v>0</v>
      </c>
      <c r="X18" s="26"/>
      <c r="Y18" s="50">
        <f>W!A138</f>
        <v>0</v>
      </c>
      <c r="Z18" s="26"/>
      <c r="AA18" s="22"/>
      <c r="AD18" s="85"/>
      <c r="AF18" s="41"/>
      <c r="AG18" s="26"/>
      <c r="AH18" s="41"/>
      <c r="AI18" s="26"/>
      <c r="AJ18" s="41"/>
      <c r="AK18" s="26"/>
    </row>
    <row r="19" spans="2:37" ht="12">
      <c r="B19" s="106"/>
      <c r="C19" s="78" t="s">
        <v>96</v>
      </c>
      <c r="G19" s="41">
        <f>W!A292</f>
        <v>2</v>
      </c>
      <c r="H19" s="22"/>
      <c r="J19" s="106"/>
      <c r="O19" s="126" t="s">
        <v>97</v>
      </c>
      <c r="P19" s="22"/>
      <c r="R19" s="106"/>
      <c r="S19" s="17" t="s">
        <v>98</v>
      </c>
      <c r="U19" s="50">
        <f>W!A133</f>
        <v>0</v>
      </c>
      <c r="V19" s="121"/>
      <c r="W19" s="50">
        <f>W!A136</f>
        <v>0</v>
      </c>
      <c r="X19" s="26"/>
      <c r="Y19" s="50">
        <f>W!A139</f>
        <v>0</v>
      </c>
      <c r="Z19" s="26"/>
      <c r="AA19" s="22"/>
      <c r="AF19" s="41"/>
      <c r="AG19" s="26"/>
      <c r="AH19" s="41"/>
      <c r="AI19" s="26"/>
      <c r="AJ19" s="41"/>
      <c r="AK19" s="26"/>
    </row>
    <row r="20" spans="2:37">
      <c r="B20" s="106"/>
      <c r="C20" s="78" t="s">
        <v>99</v>
      </c>
      <c r="F20" s="41"/>
      <c r="G20" s="41">
        <f>W!A293</f>
        <v>2</v>
      </c>
      <c r="H20" s="22"/>
      <c r="J20" s="106"/>
      <c r="K20" s="17" t="s">
        <v>100</v>
      </c>
      <c r="O20" s="41">
        <f>W!A308</f>
        <v>0</v>
      </c>
      <c r="P20" s="22"/>
      <c r="R20" s="107"/>
      <c r="S20" s="59"/>
      <c r="T20" s="59"/>
      <c r="U20" s="107"/>
      <c r="V20" s="39"/>
      <c r="W20" s="59"/>
      <c r="X20" s="72"/>
      <c r="Y20" s="107"/>
      <c r="Z20" s="72"/>
      <c r="AA20" s="68"/>
      <c r="AG20" s="26"/>
      <c r="AI20" s="26"/>
      <c r="AK20" s="26"/>
    </row>
    <row r="21" spans="2:37" ht="12">
      <c r="B21" s="106"/>
      <c r="C21" s="78" t="s">
        <v>101</v>
      </c>
      <c r="G21" s="41">
        <f>W!A294</f>
        <v>4</v>
      </c>
      <c r="H21" s="22"/>
      <c r="J21" s="107"/>
      <c r="K21" s="59"/>
      <c r="L21" s="59"/>
      <c r="M21" s="59"/>
      <c r="N21" s="59"/>
      <c r="O21" s="59"/>
      <c r="P21" s="68"/>
      <c r="R21" s="30"/>
      <c r="S21" s="83" t="s">
        <v>102</v>
      </c>
      <c r="T21" s="66"/>
      <c r="U21" s="30"/>
      <c r="V21" s="28"/>
      <c r="W21" s="66"/>
      <c r="X21" s="105"/>
      <c r="Y21" s="30"/>
      <c r="Z21" s="105"/>
      <c r="AA21" s="73"/>
      <c r="AD21" s="20"/>
      <c r="AG21" s="26"/>
      <c r="AI21" s="26"/>
      <c r="AK21" s="26"/>
    </row>
    <row r="22" spans="2:37" ht="12">
      <c r="B22" s="106"/>
      <c r="C22" s="20"/>
      <c r="D22" s="20"/>
      <c r="E22" s="20"/>
      <c r="F22" s="20"/>
      <c r="G22" s="20"/>
      <c r="H22" s="22"/>
      <c r="R22" s="106"/>
      <c r="S22" s="17" t="s">
        <v>300</v>
      </c>
      <c r="U22" s="50">
        <f>W!A141</f>
        <v>594</v>
      </c>
      <c r="V22" s="121"/>
      <c r="W22" s="50">
        <f>W!A144</f>
        <v>375</v>
      </c>
      <c r="X22" s="26"/>
      <c r="Y22" s="50">
        <f>W!A147</f>
        <v>210</v>
      </c>
      <c r="Z22" s="26"/>
      <c r="AA22" s="22"/>
      <c r="AF22" s="41"/>
      <c r="AG22" s="26"/>
      <c r="AH22" s="41"/>
      <c r="AI22" s="26"/>
      <c r="AJ22" s="41"/>
      <c r="AK22" s="26"/>
    </row>
    <row r="23" spans="2:37">
      <c r="B23" s="106"/>
      <c r="C23" s="78" t="s">
        <v>103</v>
      </c>
      <c r="F23" s="41"/>
      <c r="G23" s="41">
        <f>W!A301</f>
        <v>2136</v>
      </c>
      <c r="H23" s="49"/>
      <c r="R23" s="106"/>
      <c r="S23" s="85" t="s">
        <v>325</v>
      </c>
      <c r="U23" s="50">
        <f>W!A142</f>
        <v>0</v>
      </c>
      <c r="V23" s="121"/>
      <c r="W23" s="50">
        <f>W!A145</f>
        <v>0</v>
      </c>
      <c r="X23" s="26"/>
      <c r="Y23" s="50">
        <f>W!A148</f>
        <v>0</v>
      </c>
      <c r="Z23" s="26"/>
      <c r="AA23" s="22"/>
      <c r="AD23" s="85"/>
      <c r="AF23" s="41"/>
      <c r="AG23" s="26"/>
      <c r="AH23" s="41"/>
      <c r="AI23" s="26"/>
      <c r="AJ23" s="41"/>
      <c r="AK23" s="26"/>
    </row>
    <row r="24" spans="2:37">
      <c r="B24" s="106"/>
      <c r="C24" s="78" t="s">
        <v>104</v>
      </c>
      <c r="G24" s="41">
        <f>W!A302</f>
        <v>21</v>
      </c>
      <c r="H24" s="127">
        <f>W!B302</f>
        <v>0</v>
      </c>
      <c r="J24" s="30"/>
      <c r="K24" s="66"/>
      <c r="L24" s="66"/>
      <c r="M24" s="66"/>
      <c r="N24" s="33"/>
      <c r="O24" s="33"/>
      <c r="P24" s="73"/>
      <c r="R24" s="106"/>
      <c r="S24" s="17" t="s">
        <v>98</v>
      </c>
      <c r="U24" s="50">
        <f>W!A143</f>
        <v>0</v>
      </c>
      <c r="V24" s="121"/>
      <c r="W24" s="50">
        <f>W!A146</f>
        <v>0</v>
      </c>
      <c r="X24" s="26"/>
      <c r="Y24" s="50">
        <f>W!A149</f>
        <v>0</v>
      </c>
      <c r="Z24" s="26"/>
      <c r="AA24" s="22"/>
      <c r="AF24" s="41"/>
      <c r="AG24" s="26"/>
      <c r="AH24" s="41"/>
      <c r="AI24" s="26"/>
      <c r="AJ24" s="41"/>
      <c r="AK24" s="26"/>
    </row>
    <row r="25" spans="2:37" ht="12">
      <c r="B25" s="106"/>
      <c r="C25" s="97" t="s">
        <v>105</v>
      </c>
      <c r="G25" s="41">
        <f>W!A303</f>
        <v>2113</v>
      </c>
      <c r="H25" s="22"/>
      <c r="J25" s="106"/>
      <c r="K25" s="21" t="s">
        <v>106</v>
      </c>
      <c r="L25" s="20"/>
      <c r="M25" s="128" t="s">
        <v>297</v>
      </c>
      <c r="N25" s="129" t="s">
        <v>322</v>
      </c>
      <c r="O25" s="129" t="s">
        <v>19</v>
      </c>
      <c r="P25" s="130"/>
      <c r="R25" s="107"/>
      <c r="S25" s="59"/>
      <c r="T25" s="59"/>
      <c r="U25" s="107"/>
      <c r="V25" s="39"/>
      <c r="W25" s="59"/>
      <c r="X25" s="72"/>
      <c r="Y25" s="107"/>
      <c r="Z25" s="72"/>
      <c r="AA25" s="68"/>
      <c r="AG25" s="26"/>
      <c r="AI25" s="26"/>
      <c r="AK25" s="26"/>
    </row>
    <row r="26" spans="2:37" ht="12">
      <c r="B26" s="106"/>
      <c r="C26" s="78" t="s">
        <v>107</v>
      </c>
      <c r="G26" s="41">
        <f>G19*W!A75-G24</f>
        <v>9</v>
      </c>
      <c r="H26" s="22"/>
      <c r="J26" s="106"/>
      <c r="K26" s="97" t="s">
        <v>108</v>
      </c>
      <c r="M26" s="122">
        <f>W!A321</f>
        <v>2</v>
      </c>
      <c r="N26" s="122">
        <f>W!A322</f>
        <v>0</v>
      </c>
      <c r="O26" s="41">
        <f>IF(W!A327&gt;0,1,0)</f>
        <v>0</v>
      </c>
      <c r="P26" s="130"/>
      <c r="R26" s="30"/>
      <c r="S26" s="83" t="s">
        <v>109</v>
      </c>
      <c r="T26" s="83"/>
      <c r="U26" s="30"/>
      <c r="V26" s="28"/>
      <c r="W26" s="66"/>
      <c r="X26" s="105"/>
      <c r="Y26" s="30"/>
      <c r="Z26" s="105"/>
      <c r="AA26" s="73"/>
      <c r="AD26" s="20"/>
      <c r="AE26" s="20"/>
      <c r="AG26" s="26"/>
      <c r="AI26" s="26"/>
      <c r="AK26" s="26"/>
    </row>
    <row r="27" spans="2:37">
      <c r="B27" s="106"/>
      <c r="C27" s="78" t="s">
        <v>110</v>
      </c>
      <c r="G27" s="131" t="str">
        <f>W!A304</f>
        <v xml:space="preserve"> 99.0</v>
      </c>
      <c r="H27" s="22"/>
      <c r="J27" s="106"/>
      <c r="K27" s="97" t="s">
        <v>111</v>
      </c>
      <c r="M27" s="122">
        <f>W!A323</f>
        <v>0</v>
      </c>
      <c r="N27" s="122">
        <f>W!A324</f>
        <v>0</v>
      </c>
      <c r="O27" s="41"/>
      <c r="P27" s="130"/>
      <c r="R27" s="106"/>
      <c r="S27" s="17" t="s">
        <v>300</v>
      </c>
      <c r="U27" s="50">
        <f>W!A151</f>
        <v>0</v>
      </c>
      <c r="V27" s="121"/>
      <c r="W27" s="50">
        <f>W!A154</f>
        <v>0</v>
      </c>
      <c r="X27" s="26"/>
      <c r="Y27" s="50">
        <f>W!A157</f>
        <v>0</v>
      </c>
      <c r="Z27" s="26"/>
      <c r="AA27" s="22"/>
      <c r="AF27" s="41"/>
      <c r="AG27" s="26"/>
      <c r="AH27" s="41"/>
      <c r="AI27" s="26"/>
      <c r="AJ27" s="41"/>
      <c r="AK27" s="26"/>
    </row>
    <row r="28" spans="2:37">
      <c r="B28" s="106"/>
      <c r="H28" s="22"/>
      <c r="J28" s="106"/>
      <c r="K28" s="97" t="s">
        <v>112</v>
      </c>
      <c r="M28" s="122">
        <f>MAX(M26-M27-M30,0)</f>
        <v>0</v>
      </c>
      <c r="N28" s="122">
        <f>MAX(N26-N27-N30,0)</f>
        <v>0</v>
      </c>
      <c r="O28" s="122">
        <f>O26-O30</f>
        <v>0</v>
      </c>
      <c r="P28" s="130"/>
      <c r="R28" s="106"/>
      <c r="S28" s="85" t="s">
        <v>323</v>
      </c>
      <c r="U28" s="50">
        <f>W!A152</f>
        <v>0</v>
      </c>
      <c r="V28" s="121"/>
      <c r="W28" s="50">
        <f>W!A155</f>
        <v>0</v>
      </c>
      <c r="X28" s="26"/>
      <c r="Y28" s="50">
        <f>W!A158</f>
        <v>0</v>
      </c>
      <c r="Z28" s="26"/>
      <c r="AA28" s="22"/>
      <c r="AD28" s="85"/>
      <c r="AF28" s="41"/>
      <c r="AG28" s="26"/>
      <c r="AH28" s="41"/>
      <c r="AI28" s="26"/>
      <c r="AJ28" s="41"/>
      <c r="AK28" s="26"/>
    </row>
    <row r="29" spans="2:37" ht="12">
      <c r="B29" s="106"/>
      <c r="C29" s="20" t="s">
        <v>113</v>
      </c>
      <c r="D29" s="20"/>
      <c r="E29" s="20"/>
      <c r="H29" s="22"/>
      <c r="J29" s="106"/>
      <c r="K29" s="97" t="s">
        <v>114</v>
      </c>
      <c r="M29" s="122">
        <f>MAX(M30-M26+M27,0)</f>
        <v>1</v>
      </c>
      <c r="N29" s="122">
        <f>MAX(N30-N26+N27,0)</f>
        <v>0</v>
      </c>
      <c r="O29" s="122">
        <f>O30-O26</f>
        <v>0</v>
      </c>
      <c r="P29" s="130"/>
      <c r="R29" s="107"/>
      <c r="S29" s="59"/>
      <c r="T29" s="59"/>
      <c r="U29" s="107"/>
      <c r="V29" s="39"/>
      <c r="W29" s="59"/>
      <c r="X29" s="72"/>
      <c r="Y29" s="107"/>
      <c r="Z29" s="72"/>
      <c r="AA29" s="68"/>
      <c r="AG29" s="26"/>
      <c r="AI29" s="26"/>
      <c r="AK29" s="26"/>
    </row>
    <row r="30" spans="2:37" ht="12">
      <c r="B30" s="106"/>
      <c r="C30" s="78" t="s">
        <v>115</v>
      </c>
      <c r="F30" s="41"/>
      <c r="G30" s="41">
        <f>W!A311</f>
        <v>3000</v>
      </c>
      <c r="H30" s="22"/>
      <c r="J30" s="106"/>
      <c r="K30" s="97" t="s">
        <v>116</v>
      </c>
      <c r="M30" s="124">
        <f>W!A325</f>
        <v>3</v>
      </c>
      <c r="N30" s="124">
        <f>W!A326</f>
        <v>0</v>
      </c>
      <c r="O30" s="38">
        <f>IF(W!A328&gt;0,1,0)</f>
        <v>0</v>
      </c>
      <c r="P30" s="130"/>
      <c r="R30" s="106"/>
      <c r="S30" s="20" t="s">
        <v>117</v>
      </c>
      <c r="T30" s="20"/>
      <c r="U30" s="106"/>
      <c r="V30" s="121"/>
      <c r="X30" s="26"/>
      <c r="Y30" s="106"/>
      <c r="Z30" s="26"/>
      <c r="AA30" s="22"/>
      <c r="AD30" s="20"/>
      <c r="AE30" s="20"/>
      <c r="AG30" s="26"/>
      <c r="AI30" s="26"/>
      <c r="AK30" s="26"/>
    </row>
    <row r="31" spans="2:37">
      <c r="B31" s="106"/>
      <c r="C31" s="78" t="s">
        <v>118</v>
      </c>
      <c r="F31" s="41"/>
      <c r="G31" s="41">
        <f>1000*W!A57+W!A312</f>
        <v>0</v>
      </c>
      <c r="H31" s="22"/>
      <c r="J31" s="107"/>
      <c r="K31" s="59"/>
      <c r="L31" s="59"/>
      <c r="M31" s="59"/>
      <c r="N31" s="59"/>
      <c r="O31" s="59"/>
      <c r="P31" s="68"/>
      <c r="R31" s="106"/>
      <c r="S31" s="17" t="s">
        <v>300</v>
      </c>
      <c r="U31" s="50">
        <f>W!A161</f>
        <v>156</v>
      </c>
      <c r="V31" s="121"/>
      <c r="W31" s="50">
        <f>W!A164</f>
        <v>125</v>
      </c>
      <c r="X31" s="26"/>
      <c r="Y31" s="50">
        <f>W!A167</f>
        <v>125</v>
      </c>
      <c r="Z31" s="26"/>
      <c r="AA31" s="22"/>
      <c r="AF31" s="41"/>
      <c r="AG31" s="26"/>
      <c r="AH31" s="41"/>
      <c r="AI31" s="26"/>
      <c r="AJ31" s="41"/>
      <c r="AK31" s="26"/>
    </row>
    <row r="32" spans="2:37">
      <c r="B32" s="106"/>
      <c r="C32" s="78" t="s">
        <v>119</v>
      </c>
      <c r="G32" s="41">
        <f>W!A313</f>
        <v>0</v>
      </c>
      <c r="H32" s="22"/>
      <c r="M32" s="17" t="s">
        <v>1</v>
      </c>
      <c r="R32" s="106"/>
      <c r="S32" s="85" t="s">
        <v>323</v>
      </c>
      <c r="U32" s="50">
        <f>W!A162</f>
        <v>0</v>
      </c>
      <c r="V32" s="121"/>
      <c r="W32" s="50">
        <f>W!A165</f>
        <v>0</v>
      </c>
      <c r="X32" s="26"/>
      <c r="Y32" s="50">
        <f>W!A168</f>
        <v>0</v>
      </c>
      <c r="Z32" s="26"/>
      <c r="AA32" s="22"/>
      <c r="AD32" s="85"/>
      <c r="AF32" s="41"/>
      <c r="AG32" s="26"/>
      <c r="AH32" s="41"/>
      <c r="AI32" s="26"/>
      <c r="AJ32" s="41"/>
      <c r="AK32" s="26"/>
    </row>
    <row r="33" spans="2:37">
      <c r="B33" s="106"/>
      <c r="C33" s="78" t="s">
        <v>120</v>
      </c>
      <c r="G33" s="41">
        <f>W!A314</f>
        <v>0</v>
      </c>
      <c r="H33" s="132">
        <f>W!B313</f>
        <v>0</v>
      </c>
      <c r="R33" s="106"/>
      <c r="S33" s="17" t="s">
        <v>98</v>
      </c>
      <c r="U33" s="50">
        <f>W!A163</f>
        <v>0</v>
      </c>
      <c r="V33" s="121"/>
      <c r="W33" s="50">
        <f>W!A166</f>
        <v>0</v>
      </c>
      <c r="X33" s="26"/>
      <c r="Y33" s="50">
        <f>W!A169</f>
        <v>0</v>
      </c>
      <c r="Z33" s="26"/>
      <c r="AA33" s="22"/>
      <c r="AF33" s="41"/>
      <c r="AG33" s="26"/>
      <c r="AH33" s="41"/>
      <c r="AI33" s="26"/>
      <c r="AJ33" s="41"/>
      <c r="AK33" s="26"/>
    </row>
    <row r="34" spans="2:37">
      <c r="B34" s="106"/>
      <c r="C34" s="78" t="s">
        <v>121</v>
      </c>
      <c r="G34" s="41">
        <f>W!A315</f>
        <v>2821</v>
      </c>
      <c r="H34" s="22"/>
      <c r="J34" s="30"/>
      <c r="K34" s="66"/>
      <c r="L34" s="66"/>
      <c r="M34" s="66"/>
      <c r="N34" s="33"/>
      <c r="O34" s="33"/>
      <c r="P34" s="73"/>
      <c r="R34" s="107"/>
      <c r="S34" s="59"/>
      <c r="T34" s="59"/>
      <c r="U34" s="107"/>
      <c r="V34" s="39"/>
      <c r="W34" s="59"/>
      <c r="X34" s="72"/>
      <c r="Y34" s="107"/>
      <c r="Z34" s="72"/>
      <c r="AA34" s="68"/>
      <c r="AG34" s="26"/>
      <c r="AI34" s="26"/>
      <c r="AK34" s="26"/>
    </row>
    <row r="35" spans="2:37" ht="12">
      <c r="B35" s="106"/>
      <c r="C35" s="78" t="s">
        <v>122</v>
      </c>
      <c r="G35" s="41">
        <f>W!A316</f>
        <v>179</v>
      </c>
      <c r="H35" s="22"/>
      <c r="J35" s="106"/>
      <c r="K35" s="20" t="s">
        <v>123</v>
      </c>
      <c r="L35" s="20"/>
      <c r="M35" s="128" t="s">
        <v>297</v>
      </c>
      <c r="N35" s="134" t="s">
        <v>322</v>
      </c>
      <c r="O35" s="133" t="s">
        <v>19</v>
      </c>
      <c r="P35" s="22"/>
      <c r="R35" s="30"/>
      <c r="S35" s="83"/>
      <c r="T35" s="83"/>
      <c r="U35" s="30"/>
      <c r="V35" s="28"/>
      <c r="W35" s="66"/>
      <c r="X35" s="28"/>
      <c r="Z35" s="105"/>
      <c r="AA35" s="73"/>
      <c r="AD35" s="20"/>
      <c r="AE35" s="20"/>
      <c r="AG35" s="26"/>
      <c r="AI35" s="26"/>
      <c r="AK35" s="26"/>
    </row>
    <row r="36" spans="2:37" ht="12">
      <c r="B36" s="106"/>
      <c r="C36" s="97" t="s">
        <v>124</v>
      </c>
      <c r="G36" s="41"/>
      <c r="H36" s="22"/>
      <c r="J36" s="106"/>
      <c r="K36" s="17" t="s">
        <v>125</v>
      </c>
      <c r="M36" s="50">
        <f>W!A295</f>
        <v>1434</v>
      </c>
      <c r="N36" s="50">
        <f>W!A297</f>
        <v>0</v>
      </c>
      <c r="O36" s="122">
        <f>W!A299</f>
        <v>0</v>
      </c>
      <c r="P36" s="22"/>
      <c r="R36" s="106"/>
      <c r="S36" s="20" t="s">
        <v>126</v>
      </c>
      <c r="T36" s="86"/>
      <c r="U36" s="41">
        <f>W!A171</f>
        <v>0</v>
      </c>
      <c r="V36" s="123">
        <f>W!B171</f>
        <v>0</v>
      </c>
      <c r="W36" s="41">
        <f>W!A172</f>
        <v>0</v>
      </c>
      <c r="X36" s="123">
        <f>W!B172</f>
        <v>0</v>
      </c>
      <c r="Y36" s="41">
        <f>W!A173</f>
        <v>0</v>
      </c>
      <c r="Z36" s="29">
        <f>W!B173</f>
        <v>0</v>
      </c>
      <c r="AA36" s="22"/>
      <c r="AD36" s="20"/>
      <c r="AE36" s="20"/>
      <c r="AF36" s="41"/>
      <c r="AG36" s="29"/>
      <c r="AH36" s="41"/>
      <c r="AI36" s="29"/>
      <c r="AJ36" s="41"/>
      <c r="AK36" s="29"/>
    </row>
    <row r="37" spans="2:37" ht="12">
      <c r="B37" s="106"/>
      <c r="C37" s="78" t="s">
        <v>127</v>
      </c>
      <c r="G37" s="41">
        <f>1000*W!A58</f>
        <v>2000</v>
      </c>
      <c r="H37" s="22"/>
      <c r="J37" s="106"/>
      <c r="K37" s="17" t="s">
        <v>128</v>
      </c>
      <c r="M37" s="124">
        <f>W!A296</f>
        <v>7</v>
      </c>
      <c r="N37" s="124">
        <f>W!A298</f>
        <v>0</v>
      </c>
      <c r="O37" s="124">
        <f>W!A300</f>
        <v>0</v>
      </c>
      <c r="P37" s="22"/>
      <c r="R37" s="107"/>
      <c r="S37" s="135" t="s">
        <v>129</v>
      </c>
      <c r="T37" s="59"/>
      <c r="U37" s="107"/>
      <c r="V37" s="39"/>
      <c r="W37" s="59"/>
      <c r="X37" s="72"/>
      <c r="Y37" s="107"/>
      <c r="Z37" s="72"/>
      <c r="AA37" s="68"/>
      <c r="AG37" s="26"/>
      <c r="AI37" s="26"/>
      <c r="AK37" s="26"/>
    </row>
    <row r="38" spans="2:37" ht="12">
      <c r="B38" s="106"/>
      <c r="C38" s="78" t="s">
        <v>130</v>
      </c>
      <c r="G38" s="41">
        <f>W!A317</f>
        <v>0</v>
      </c>
      <c r="H38" s="22"/>
      <c r="J38" s="107"/>
      <c r="K38" s="59"/>
      <c r="L38" s="59"/>
      <c r="M38" s="59"/>
      <c r="N38" s="59"/>
      <c r="O38" s="59"/>
      <c r="P38" s="68"/>
      <c r="R38" s="30"/>
      <c r="S38" s="87"/>
      <c r="T38" s="83"/>
      <c r="U38" s="30"/>
      <c r="V38" s="28"/>
      <c r="W38" s="66"/>
      <c r="X38" s="105"/>
      <c r="Y38" s="30"/>
      <c r="Z38" s="105"/>
      <c r="AA38" s="73"/>
      <c r="AD38" s="21"/>
      <c r="AE38" s="20"/>
      <c r="AG38" s="26"/>
      <c r="AI38" s="26"/>
      <c r="AK38" s="26"/>
    </row>
    <row r="39" spans="2:37" ht="12">
      <c r="B39" s="106"/>
      <c r="C39" s="97" t="s">
        <v>131</v>
      </c>
      <c r="G39" s="41">
        <f>1000*W!A59</f>
        <v>0</v>
      </c>
      <c r="H39" s="22"/>
      <c r="R39" s="106"/>
      <c r="S39" s="20" t="s">
        <v>132</v>
      </c>
      <c r="T39" s="20"/>
      <c r="U39" s="136" t="str">
        <f>W!A177</f>
        <v>Minor</v>
      </c>
      <c r="V39" s="121"/>
      <c r="W39" s="136" t="str">
        <f>W!A178</f>
        <v>None</v>
      </c>
      <c r="X39" s="26"/>
      <c r="Y39" s="136" t="str">
        <f>W!A179</f>
        <v>None</v>
      </c>
      <c r="Z39" s="26"/>
      <c r="AA39" s="22"/>
      <c r="AD39" s="20"/>
      <c r="AE39" s="20"/>
      <c r="AF39" s="41"/>
      <c r="AG39" s="26"/>
      <c r="AH39" s="41"/>
      <c r="AI39" s="26"/>
      <c r="AJ39" s="41"/>
      <c r="AK39" s="26"/>
    </row>
    <row r="40" spans="2:37" ht="9" customHeight="1">
      <c r="B40" s="106"/>
      <c r="H40" s="22"/>
      <c r="R40" s="107"/>
      <c r="S40" s="59"/>
      <c r="T40" s="88"/>
      <c r="U40" s="59"/>
      <c r="V40" s="39"/>
      <c r="W40" s="59"/>
      <c r="X40" s="39"/>
      <c r="Y40" s="59"/>
      <c r="Z40" s="72"/>
      <c r="AA40" s="68"/>
      <c r="AE40" s="20"/>
      <c r="AG40" s="26"/>
      <c r="AI40" s="26"/>
      <c r="AK40" s="26"/>
    </row>
    <row r="41" spans="2:37" ht="12">
      <c r="B41" s="106"/>
      <c r="C41" s="20" t="s">
        <v>133</v>
      </c>
      <c r="H41" s="22"/>
      <c r="J41" s="30"/>
      <c r="K41" s="66"/>
      <c r="L41" s="66"/>
      <c r="M41" s="66"/>
      <c r="N41" s="66"/>
      <c r="O41" s="66"/>
      <c r="P41" s="73"/>
      <c r="R41" s="106"/>
      <c r="S41" s="20" t="s">
        <v>134</v>
      </c>
      <c r="U41" s="50"/>
      <c r="V41" s="121"/>
      <c r="W41" s="41"/>
      <c r="X41" s="26"/>
      <c r="Y41" s="50"/>
      <c r="Z41" s="26"/>
      <c r="AA41" s="22"/>
      <c r="AD41" s="20"/>
      <c r="AF41" s="41"/>
      <c r="AG41" s="26"/>
      <c r="AH41" s="41"/>
      <c r="AI41" s="26"/>
      <c r="AJ41" s="41"/>
      <c r="AK41" s="26"/>
    </row>
    <row r="42" spans="2:37" ht="12">
      <c r="B42" s="106"/>
      <c r="C42" s="78" t="s">
        <v>135</v>
      </c>
      <c r="G42" s="41">
        <f>W!A318</f>
        <v>0</v>
      </c>
      <c r="H42" s="22"/>
      <c r="J42" s="106"/>
      <c r="K42" s="20" t="s">
        <v>136</v>
      </c>
      <c r="N42" s="19" t="s">
        <v>137</v>
      </c>
      <c r="P42" s="22"/>
      <c r="R42" s="106"/>
      <c r="S42" s="78" t="s">
        <v>138</v>
      </c>
      <c r="U42" s="50">
        <f>W!A181</f>
        <v>0</v>
      </c>
      <c r="V42" s="121"/>
      <c r="W42" s="41">
        <f>W!A182</f>
        <v>0</v>
      </c>
      <c r="X42" s="26"/>
      <c r="Y42" s="50">
        <f>W!A183</f>
        <v>0</v>
      </c>
      <c r="Z42" s="26"/>
      <c r="AA42" s="22"/>
      <c r="AF42" s="41"/>
      <c r="AG42" s="26"/>
      <c r="AH42" s="41"/>
      <c r="AI42" s="26"/>
      <c r="AJ42" s="41"/>
      <c r="AK42" s="26"/>
    </row>
    <row r="43" spans="2:37">
      <c r="B43" s="106"/>
      <c r="C43" s="78" t="s">
        <v>139</v>
      </c>
      <c r="G43" s="41">
        <f>W!A319</f>
        <v>0</v>
      </c>
      <c r="H43" s="22"/>
      <c r="J43" s="106"/>
      <c r="K43" s="78" t="s">
        <v>140</v>
      </c>
      <c r="N43" s="137">
        <f>0.00019*50*G10</f>
        <v>4.75</v>
      </c>
      <c r="P43" s="22"/>
      <c r="R43" s="106"/>
      <c r="S43" s="78" t="s">
        <v>141</v>
      </c>
      <c r="U43" s="50">
        <f>W!A54</f>
        <v>0</v>
      </c>
      <c r="V43" s="121"/>
      <c r="W43" s="50">
        <f>W!A55</f>
        <v>0</v>
      </c>
      <c r="X43" s="26"/>
      <c r="Y43" s="50">
        <f>W!A56</f>
        <v>0</v>
      </c>
      <c r="Z43" s="26"/>
      <c r="AA43" s="22"/>
      <c r="AF43" s="41"/>
      <c r="AG43" s="26"/>
      <c r="AH43" s="41"/>
      <c r="AI43" s="26"/>
      <c r="AJ43" s="41"/>
      <c r="AK43" s="26"/>
    </row>
    <row r="44" spans="2:37">
      <c r="B44" s="106"/>
      <c r="C44" s="78" t="s">
        <v>142</v>
      </c>
      <c r="G44" s="41">
        <f>100-W!A320/10</f>
        <v>100</v>
      </c>
      <c r="H44" s="22"/>
      <c r="J44" s="106"/>
      <c r="K44" s="78" t="s">
        <v>143</v>
      </c>
      <c r="N44" s="138">
        <f>0.00052*(6*G25+O18)</f>
        <v>9.0557999999999996</v>
      </c>
      <c r="P44" s="22"/>
      <c r="R44" s="106"/>
      <c r="S44" s="78" t="s">
        <v>144</v>
      </c>
      <c r="U44" s="50">
        <f>W!A184</f>
        <v>0</v>
      </c>
      <c r="V44" s="121"/>
      <c r="W44" s="41">
        <f>W!A185</f>
        <v>0</v>
      </c>
      <c r="X44" s="26"/>
      <c r="Y44" s="50">
        <f>W!A186</f>
        <v>0</v>
      </c>
      <c r="Z44" s="26"/>
      <c r="AA44" s="22"/>
      <c r="AF44" s="41"/>
      <c r="AG44" s="26"/>
      <c r="AH44" s="41"/>
      <c r="AI44" s="26"/>
      <c r="AJ44" s="41"/>
      <c r="AK44" s="26"/>
    </row>
    <row r="45" spans="2:37">
      <c r="B45" s="106"/>
      <c r="C45" s="78" t="s">
        <v>145</v>
      </c>
      <c r="G45" s="41">
        <f>W!A329</f>
        <v>0</v>
      </c>
      <c r="H45" s="22"/>
      <c r="J45" s="106"/>
      <c r="K45" s="78" t="s">
        <v>146</v>
      </c>
      <c r="N45" s="137">
        <f>N43+N44</f>
        <v>13.8058</v>
      </c>
      <c r="P45" s="22"/>
      <c r="R45" s="106"/>
      <c r="S45" s="78" t="s">
        <v>147</v>
      </c>
      <c r="U45" s="50">
        <f>W!A187</f>
        <v>0</v>
      </c>
      <c r="V45" s="121"/>
      <c r="W45" s="41">
        <f>W!A188</f>
        <v>0</v>
      </c>
      <c r="X45" s="26"/>
      <c r="Y45" s="50">
        <f>W!A189</f>
        <v>0</v>
      </c>
      <c r="Z45" s="26"/>
      <c r="AA45" s="22"/>
      <c r="AF45" s="41"/>
      <c r="AG45" s="26"/>
      <c r="AH45" s="41"/>
      <c r="AI45" s="26"/>
      <c r="AJ45" s="41"/>
      <c r="AK45" s="26"/>
    </row>
    <row r="46" spans="2:37" ht="8.25" customHeight="1">
      <c r="B46" s="107"/>
      <c r="C46" s="59"/>
      <c r="D46" s="59"/>
      <c r="E46" s="59"/>
      <c r="F46" s="59"/>
      <c r="G46" s="59"/>
      <c r="H46" s="68"/>
      <c r="J46" s="107"/>
      <c r="K46" s="59"/>
      <c r="L46" s="59"/>
      <c r="M46" s="59"/>
      <c r="N46" s="59"/>
      <c r="O46" s="59"/>
      <c r="P46" s="68"/>
      <c r="R46" s="107"/>
      <c r="S46" s="59"/>
      <c r="T46" s="59"/>
      <c r="U46" s="107"/>
      <c r="V46" s="39"/>
      <c r="W46" s="59"/>
      <c r="X46" s="72"/>
      <c r="Y46" s="107"/>
      <c r="Z46" s="72"/>
      <c r="AA46" s="68"/>
      <c r="AG46" s="26"/>
      <c r="AI46" s="26"/>
      <c r="AK46" s="26"/>
    </row>
    <row r="47" spans="2:37" ht="37.799999999999997" customHeight="1">
      <c r="B47" s="169" t="s">
        <v>328</v>
      </c>
      <c r="C47" s="170"/>
      <c r="D47" s="170"/>
      <c r="E47" s="170"/>
      <c r="F47" s="170"/>
      <c r="G47" s="170"/>
      <c r="H47" s="170"/>
      <c r="I47" s="170"/>
      <c r="J47" s="170"/>
      <c r="K47" s="170"/>
      <c r="L47" s="170"/>
      <c r="M47" s="170"/>
      <c r="N47" s="170"/>
      <c r="O47" s="170"/>
      <c r="P47" s="170"/>
      <c r="Q47" s="170"/>
      <c r="R47" s="170"/>
      <c r="S47" s="170"/>
      <c r="T47" s="170"/>
      <c r="U47" s="170"/>
      <c r="V47" s="170"/>
      <c r="W47" s="170"/>
      <c r="X47" s="170"/>
      <c r="Y47" s="170"/>
      <c r="Z47" s="170"/>
      <c r="AA47" s="170"/>
    </row>
    <row r="48" spans="2:37">
      <c r="D48" s="78"/>
      <c r="M48" s="110"/>
    </row>
    <row r="51" spans="9:9">
      <c r="I51" s="17" t="s">
        <v>1</v>
      </c>
    </row>
  </sheetData>
  <mergeCells count="1">
    <mergeCell ref="B47:AA47"/>
  </mergeCells>
  <phoneticPr fontId="14" type="noConversion"/>
  <pageMargins left="0.35433070866141736" right="0.15748031496062992" top="0.59055118110236227" bottom="0.39370078740157483" header="0.51181102362204722" footer="0.51181102362204722"/>
  <pageSetup paperSize="9" scale="93" firstPageNumber="0" orientation="landscape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59"/>
  <sheetViews>
    <sheetView showGridLines="0" workbookViewId="0"/>
  </sheetViews>
  <sheetFormatPr defaultColWidth="9.109375" defaultRowHeight="10.199999999999999"/>
  <cols>
    <col min="1" max="2" width="1.44140625" style="78" customWidth="1"/>
    <col min="3" max="6" width="7.6640625" style="78" customWidth="1"/>
    <col min="7" max="8" width="1.6640625" style="78" customWidth="1"/>
    <col min="9" max="12" width="7.6640625" style="78" customWidth="1"/>
    <col min="13" max="14" width="1.44140625" style="78" customWidth="1"/>
    <col min="15" max="18" width="7.6640625" style="78" customWidth="1"/>
    <col min="19" max="20" width="1.44140625" style="78" customWidth="1"/>
    <col min="21" max="24" width="7.6640625" style="78" customWidth="1"/>
    <col min="25" max="25" width="1.44140625" style="78" customWidth="1"/>
    <col min="26" max="16384" width="9.109375" style="78"/>
  </cols>
  <sheetData>
    <row r="1" spans="2:25" ht="15.6">
      <c r="D1" s="139" t="s">
        <v>7</v>
      </c>
      <c r="E1" s="14">
        <f>W!A1</f>
        <v>0</v>
      </c>
      <c r="F1" s="140" t="s">
        <v>6</v>
      </c>
      <c r="G1" s="17"/>
      <c r="I1" s="14">
        <f>W!A2</f>
        <v>0</v>
      </c>
      <c r="J1" s="17"/>
      <c r="K1" s="17"/>
      <c r="L1" s="17"/>
      <c r="M1" s="114" t="s">
        <v>148</v>
      </c>
      <c r="N1" s="17"/>
      <c r="O1" s="17"/>
      <c r="P1" s="17"/>
      <c r="Q1" s="17"/>
      <c r="S1" s="17"/>
      <c r="U1" s="13" t="s">
        <v>10</v>
      </c>
      <c r="V1" s="14">
        <f>W!A4</f>
        <v>2025</v>
      </c>
      <c r="W1" s="111" t="s">
        <v>11</v>
      </c>
      <c r="X1" s="14">
        <f>W!A5</f>
        <v>2</v>
      </c>
    </row>
    <row r="3" spans="2:25">
      <c r="B3" s="89"/>
      <c r="C3" s="90"/>
      <c r="D3" s="90"/>
      <c r="E3" s="90"/>
      <c r="F3" s="90"/>
      <c r="G3" s="91"/>
      <c r="H3" s="90"/>
      <c r="I3" s="90"/>
      <c r="J3" s="90"/>
      <c r="K3" s="141"/>
      <c r="L3" s="141"/>
      <c r="M3" s="142"/>
      <c r="N3" s="141"/>
      <c r="O3" s="141"/>
      <c r="P3" s="141"/>
      <c r="Q3" s="141"/>
      <c r="R3" s="141"/>
      <c r="S3" s="143"/>
      <c r="T3" s="144"/>
      <c r="U3" s="141"/>
      <c r="V3" s="141"/>
      <c r="W3" s="141"/>
      <c r="X3" s="141"/>
      <c r="Y3" s="142"/>
    </row>
    <row r="4" spans="2:25">
      <c r="B4" s="145"/>
      <c r="C4" s="92" t="s">
        <v>149</v>
      </c>
      <c r="D4" s="92"/>
      <c r="E4" s="92"/>
      <c r="F4" s="146" t="s">
        <v>313</v>
      </c>
      <c r="G4" s="93"/>
      <c r="H4" s="92"/>
      <c r="I4" s="92"/>
      <c r="J4" s="92"/>
      <c r="M4" s="147"/>
      <c r="S4" s="148"/>
      <c r="T4" s="97"/>
      <c r="Y4" s="147"/>
    </row>
    <row r="5" spans="2:25">
      <c r="B5" s="145"/>
      <c r="C5" s="92"/>
      <c r="D5" s="92"/>
      <c r="E5" s="92"/>
      <c r="F5" s="92"/>
      <c r="G5" s="93"/>
      <c r="H5" s="92"/>
      <c r="I5" s="92"/>
      <c r="J5" s="92"/>
      <c r="M5" s="147"/>
      <c r="S5" s="148"/>
      <c r="T5" s="97"/>
      <c r="U5" s="78" t="s">
        <v>150</v>
      </c>
      <c r="Y5" s="147"/>
    </row>
    <row r="6" spans="2:25">
      <c r="B6" s="145"/>
      <c r="C6" s="78" t="s">
        <v>151</v>
      </c>
      <c r="D6" s="92"/>
      <c r="E6" s="92"/>
      <c r="F6" s="94"/>
      <c r="G6" s="93"/>
      <c r="H6" s="92"/>
      <c r="I6" s="78" t="s">
        <v>152</v>
      </c>
      <c r="J6" s="92"/>
      <c r="L6" s="94"/>
      <c r="M6" s="147"/>
      <c r="O6" s="78" t="s">
        <v>153</v>
      </c>
      <c r="P6" s="92"/>
      <c r="R6" s="94"/>
      <c r="S6" s="147"/>
      <c r="U6" s="78" t="s">
        <v>154</v>
      </c>
      <c r="X6" s="94"/>
      <c r="Y6" s="147"/>
    </row>
    <row r="7" spans="2:25">
      <c r="B7" s="145"/>
      <c r="C7" s="92"/>
      <c r="D7" s="92"/>
      <c r="E7" s="92"/>
      <c r="F7" s="94"/>
      <c r="G7" s="93"/>
      <c r="H7" s="92"/>
      <c r="I7" s="92"/>
      <c r="J7" s="92"/>
      <c r="L7" s="94"/>
      <c r="M7" s="147"/>
      <c r="O7" s="92"/>
      <c r="P7" s="92"/>
      <c r="R7" s="94"/>
      <c r="S7" s="147"/>
      <c r="U7" s="92"/>
      <c r="X7" s="94"/>
      <c r="Y7" s="147"/>
    </row>
    <row r="8" spans="2:25">
      <c r="B8" s="145"/>
      <c r="C8" s="78" t="s">
        <v>155</v>
      </c>
      <c r="F8" s="149">
        <f>W!A201</f>
        <v>45000</v>
      </c>
      <c r="G8" s="147"/>
      <c r="I8" s="78" t="s">
        <v>156</v>
      </c>
      <c r="L8" s="149">
        <f>W!A241</f>
        <v>483480</v>
      </c>
      <c r="M8" s="147"/>
      <c r="O8" s="92" t="s">
        <v>157</v>
      </c>
      <c r="P8" s="92"/>
      <c r="S8" s="147"/>
      <c r="U8" s="92" t="s">
        <v>21</v>
      </c>
      <c r="Y8" s="147"/>
    </row>
    <row r="9" spans="2:25">
      <c r="B9" s="145"/>
      <c r="C9" s="95" t="s">
        <v>158</v>
      </c>
      <c r="F9" s="149">
        <f>W!A202</f>
        <v>0</v>
      </c>
      <c r="G9" s="147"/>
      <c r="L9" s="149"/>
      <c r="M9" s="147"/>
      <c r="O9" s="78" t="s">
        <v>159</v>
      </c>
      <c r="R9" s="78">
        <f>W!A261</f>
        <v>50000</v>
      </c>
      <c r="S9" s="147"/>
      <c r="U9" s="78" t="s">
        <v>160</v>
      </c>
      <c r="X9" s="149">
        <f>W!A221</f>
        <v>183382</v>
      </c>
      <c r="Y9" s="147"/>
    </row>
    <row r="10" spans="2:25">
      <c r="B10" s="145"/>
      <c r="C10" s="78" t="s">
        <v>161</v>
      </c>
      <c r="F10" s="149">
        <f>W!A203</f>
        <v>0</v>
      </c>
      <c r="G10" s="147"/>
      <c r="I10" s="78" t="s">
        <v>162</v>
      </c>
      <c r="L10" s="149">
        <f>W!A242</f>
        <v>94909</v>
      </c>
      <c r="M10" s="147"/>
      <c r="O10" s="78" t="s">
        <v>163</v>
      </c>
      <c r="R10" s="78">
        <f>W!A262</f>
        <v>250000</v>
      </c>
      <c r="S10" s="147"/>
      <c r="U10" s="78" t="s">
        <v>164</v>
      </c>
      <c r="X10" s="149">
        <f>W!A222</f>
        <v>0</v>
      </c>
      <c r="Y10" s="147"/>
    </row>
    <row r="11" spans="2:25">
      <c r="B11" s="145"/>
      <c r="C11" s="78" t="s">
        <v>165</v>
      </c>
      <c r="F11" s="149">
        <f>W!A204</f>
        <v>59158</v>
      </c>
      <c r="G11" s="147"/>
      <c r="I11" s="78" t="s">
        <v>166</v>
      </c>
      <c r="L11" s="149">
        <f>W!A243</f>
        <v>0</v>
      </c>
      <c r="M11" s="147"/>
      <c r="O11" s="78" t="s">
        <v>167</v>
      </c>
      <c r="R11" s="150">
        <f>W!A263</f>
        <v>1155376</v>
      </c>
      <c r="S11" s="147"/>
      <c r="U11" s="78" t="s">
        <v>168</v>
      </c>
      <c r="X11" s="149">
        <f>W!A223</f>
        <v>561735</v>
      </c>
      <c r="Y11" s="147"/>
    </row>
    <row r="12" spans="2:25">
      <c r="B12" s="145"/>
      <c r="C12" s="78" t="s">
        <v>169</v>
      </c>
      <c r="F12" s="149">
        <f>W!A205</f>
        <v>4834</v>
      </c>
      <c r="G12" s="147"/>
      <c r="I12" s="78" t="s">
        <v>170</v>
      </c>
      <c r="L12" s="149">
        <f>W!A244</f>
        <v>71444</v>
      </c>
      <c r="M12" s="147"/>
      <c r="O12" s="78" t="s">
        <v>171</v>
      </c>
      <c r="R12" s="149">
        <f>SUM(R9:R11)</f>
        <v>1455376</v>
      </c>
      <c r="S12" s="147"/>
      <c r="U12" s="78" t="s">
        <v>172</v>
      </c>
      <c r="X12" s="151">
        <f>W!A224</f>
        <v>0</v>
      </c>
      <c r="Y12" s="147"/>
    </row>
    <row r="13" spans="2:25">
      <c r="B13" s="145"/>
      <c r="C13" s="78" t="s">
        <v>173</v>
      </c>
      <c r="F13" s="149">
        <f>W!A206</f>
        <v>0</v>
      </c>
      <c r="G13" s="147"/>
      <c r="I13" s="78" t="s">
        <v>174</v>
      </c>
      <c r="L13" s="149">
        <f>W!A245</f>
        <v>50489</v>
      </c>
      <c r="M13" s="147"/>
      <c r="S13" s="147"/>
      <c r="U13" s="78" t="s">
        <v>175</v>
      </c>
      <c r="X13" s="78">
        <f>X9+X10-X11-X12</f>
        <v>-378353</v>
      </c>
      <c r="Y13" s="147"/>
    </row>
    <row r="14" spans="2:25">
      <c r="B14" s="145"/>
      <c r="C14" s="78" t="s">
        <v>176</v>
      </c>
      <c r="F14" s="149">
        <f>W!A207</f>
        <v>60000</v>
      </c>
      <c r="G14" s="147"/>
      <c r="I14" s="78" t="s">
        <v>177</v>
      </c>
      <c r="L14" s="149">
        <f>W!A246</f>
        <v>86807</v>
      </c>
      <c r="M14" s="147"/>
      <c r="O14" s="92" t="s">
        <v>178</v>
      </c>
      <c r="S14" s="147"/>
      <c r="Y14" s="147"/>
    </row>
    <row r="15" spans="2:25">
      <c r="B15" s="145"/>
      <c r="C15" s="95" t="s">
        <v>179</v>
      </c>
      <c r="F15" s="149">
        <f>W!A208</f>
        <v>0</v>
      </c>
      <c r="G15" s="147"/>
      <c r="I15" s="78" t="s">
        <v>180</v>
      </c>
      <c r="L15" s="149">
        <f>W!A247</f>
        <v>59680</v>
      </c>
      <c r="M15" s="147"/>
      <c r="O15" s="78" t="s">
        <v>181</v>
      </c>
      <c r="R15" s="149">
        <f>W!A265</f>
        <v>67194</v>
      </c>
      <c r="S15" s="147"/>
      <c r="U15" s="92" t="s">
        <v>182</v>
      </c>
      <c r="Y15" s="147"/>
    </row>
    <row r="16" spans="2:25">
      <c r="B16" s="145"/>
      <c r="C16" s="78" t="s">
        <v>183</v>
      </c>
      <c r="F16" s="149">
        <f>W!A209</f>
        <v>43500</v>
      </c>
      <c r="G16" s="147"/>
      <c r="I16" s="78" t="s">
        <v>184</v>
      </c>
      <c r="L16" s="149">
        <f>W!A248</f>
        <v>1623</v>
      </c>
      <c r="M16" s="147"/>
      <c r="O16" s="78" t="s">
        <v>185</v>
      </c>
      <c r="R16" s="149">
        <f>W!A266</f>
        <v>0</v>
      </c>
      <c r="S16" s="147"/>
      <c r="U16" s="78" t="s">
        <v>186</v>
      </c>
      <c r="X16" s="149">
        <f>W!A225</f>
        <v>11875</v>
      </c>
      <c r="Y16" s="147"/>
    </row>
    <row r="17" spans="2:25">
      <c r="B17" s="145"/>
      <c r="C17" s="78" t="s">
        <v>187</v>
      </c>
      <c r="F17" s="149">
        <f>W!A210</f>
        <v>2550</v>
      </c>
      <c r="G17" s="147"/>
      <c r="I17" s="78" t="s">
        <v>188</v>
      </c>
      <c r="L17" s="149">
        <f>W!A249</f>
        <v>18200</v>
      </c>
      <c r="M17" s="147"/>
      <c r="O17" s="78" t="s">
        <v>189</v>
      </c>
      <c r="R17" s="149">
        <f>W!A267</f>
        <v>71573</v>
      </c>
      <c r="S17" s="147"/>
      <c r="U17" s="78" t="s">
        <v>190</v>
      </c>
      <c r="X17" s="149">
        <f>W!A226</f>
        <v>0</v>
      </c>
      <c r="Y17" s="147"/>
    </row>
    <row r="18" spans="2:25">
      <c r="B18" s="145"/>
      <c r="C18" s="78" t="s">
        <v>191</v>
      </c>
      <c r="F18" s="149">
        <f>W!A211</f>
        <v>8207</v>
      </c>
      <c r="G18" s="147"/>
      <c r="I18" s="97" t="s">
        <v>192</v>
      </c>
      <c r="L18" s="151">
        <f>W!A250</f>
        <v>138767</v>
      </c>
      <c r="M18" s="147"/>
      <c r="O18" s="78" t="s">
        <v>193</v>
      </c>
      <c r="R18" s="149">
        <f>W!A268</f>
        <v>300098</v>
      </c>
      <c r="S18" s="147"/>
      <c r="U18" s="78" t="s">
        <v>194</v>
      </c>
      <c r="X18" s="151">
        <f>W!A227</f>
        <v>600000</v>
      </c>
      <c r="Y18" s="147"/>
    </row>
    <row r="19" spans="2:25">
      <c r="B19" s="145"/>
      <c r="C19" s="78" t="s">
        <v>195</v>
      </c>
      <c r="F19" s="149">
        <f>W!A212</f>
        <v>7500</v>
      </c>
      <c r="G19" s="147"/>
      <c r="I19" s="78" t="s">
        <v>196</v>
      </c>
      <c r="L19" s="152">
        <f>W!A251</f>
        <v>244385</v>
      </c>
      <c r="M19" s="147"/>
      <c r="O19" s="78" t="s">
        <v>197</v>
      </c>
      <c r="R19" s="151">
        <f>W!A269</f>
        <v>1900000</v>
      </c>
      <c r="S19" s="147"/>
      <c r="U19" s="78" t="s">
        <v>198</v>
      </c>
      <c r="X19" s="78">
        <f>X16+X17-X18</f>
        <v>-588125</v>
      </c>
      <c r="Y19" s="147"/>
    </row>
    <row r="20" spans="2:25">
      <c r="B20" s="145"/>
      <c r="C20" s="78" t="s">
        <v>199</v>
      </c>
      <c r="F20" s="149">
        <f>W!A213</f>
        <v>1179</v>
      </c>
      <c r="G20" s="147"/>
      <c r="I20" s="78" t="s">
        <v>200</v>
      </c>
      <c r="L20" s="149">
        <f>W!A252</f>
        <v>239095</v>
      </c>
      <c r="M20" s="147"/>
      <c r="O20" s="78" t="s">
        <v>201</v>
      </c>
      <c r="R20" s="153">
        <f>SUM(R15:R19)</f>
        <v>2338865</v>
      </c>
      <c r="S20" s="147"/>
      <c r="Y20" s="147"/>
    </row>
    <row r="21" spans="2:25">
      <c r="B21" s="145"/>
      <c r="C21" s="78" t="s">
        <v>202</v>
      </c>
      <c r="F21" s="149">
        <f>W!A214</f>
        <v>5879</v>
      </c>
      <c r="G21" s="147"/>
      <c r="I21" s="78" t="s">
        <v>203</v>
      </c>
      <c r="L21" s="149">
        <f>W!A217</f>
        <v>308359</v>
      </c>
      <c r="M21" s="147"/>
      <c r="O21" s="78" t="s">
        <v>204</v>
      </c>
      <c r="R21" s="149">
        <f>R12+R20</f>
        <v>3794241</v>
      </c>
      <c r="S21" s="147"/>
      <c r="U21" s="92" t="s">
        <v>205</v>
      </c>
      <c r="Y21" s="147"/>
    </row>
    <row r="22" spans="2:25">
      <c r="B22" s="145"/>
      <c r="C22" s="78" t="s">
        <v>206</v>
      </c>
      <c r="F22" s="149">
        <f>W!A215</f>
        <v>60000</v>
      </c>
      <c r="G22" s="147"/>
      <c r="I22" s="78" t="s">
        <v>164</v>
      </c>
      <c r="L22" s="149">
        <f>W!A222</f>
        <v>0</v>
      </c>
      <c r="M22" s="147"/>
      <c r="S22" s="147"/>
      <c r="U22" s="78" t="s">
        <v>207</v>
      </c>
      <c r="X22" s="149">
        <f>W!A228</f>
        <v>0</v>
      </c>
      <c r="Y22" s="147"/>
    </row>
    <row r="23" spans="2:25">
      <c r="B23" s="145"/>
      <c r="C23" s="78" t="s">
        <v>208</v>
      </c>
      <c r="F23" s="151">
        <f>W!A216</f>
        <v>10552</v>
      </c>
      <c r="G23" s="147"/>
      <c r="I23" s="78" t="s">
        <v>209</v>
      </c>
      <c r="L23" s="150">
        <f>W!A254</f>
        <v>29624</v>
      </c>
      <c r="M23" s="147"/>
      <c r="O23" s="92" t="s">
        <v>210</v>
      </c>
      <c r="R23" s="149"/>
      <c r="S23" s="147"/>
      <c r="U23" s="78" t="s">
        <v>211</v>
      </c>
      <c r="X23" s="149">
        <f>W!A229</f>
        <v>0</v>
      </c>
      <c r="Y23" s="147"/>
    </row>
    <row r="24" spans="2:25">
      <c r="B24" s="145"/>
      <c r="C24" s="78" t="s">
        <v>212</v>
      </c>
      <c r="D24" s="92"/>
      <c r="F24" s="151">
        <f>W!A217</f>
        <v>308359</v>
      </c>
      <c r="G24" s="147"/>
      <c r="I24" s="78" t="s">
        <v>213</v>
      </c>
      <c r="L24" s="149">
        <f>L20-L21+L22-L23</f>
        <v>-98888</v>
      </c>
      <c r="M24" s="147"/>
      <c r="O24" s="78" t="s">
        <v>214</v>
      </c>
      <c r="R24" s="149">
        <f>W!A271</f>
        <v>0</v>
      </c>
      <c r="S24" s="147"/>
      <c r="U24" s="78" t="s">
        <v>215</v>
      </c>
      <c r="X24" s="149">
        <f>W!A230</f>
        <v>0</v>
      </c>
      <c r="Y24" s="147"/>
    </row>
    <row r="25" spans="2:25">
      <c r="B25" s="145"/>
      <c r="F25" s="96"/>
      <c r="G25" s="147"/>
      <c r="I25" s="78" t="s">
        <v>186</v>
      </c>
      <c r="L25" s="149">
        <f>W!A225</f>
        <v>11875</v>
      </c>
      <c r="M25" s="147"/>
      <c r="O25" s="95" t="s">
        <v>216</v>
      </c>
      <c r="R25" s="149">
        <f>W!A272</f>
        <v>109679</v>
      </c>
      <c r="S25" s="147"/>
      <c r="U25" s="78" t="s">
        <v>217</v>
      </c>
      <c r="X25" s="149">
        <f>W!A231</f>
        <v>0</v>
      </c>
      <c r="Y25" s="147"/>
    </row>
    <row r="26" spans="2:25">
      <c r="B26" s="145"/>
      <c r="C26" s="92" t="s">
        <v>218</v>
      </c>
      <c r="F26" s="149"/>
      <c r="G26" s="147"/>
      <c r="I26" s="78" t="s">
        <v>219</v>
      </c>
      <c r="L26" s="151">
        <f>W!A232</f>
        <v>16545</v>
      </c>
      <c r="M26" s="147"/>
      <c r="O26" s="78" t="s">
        <v>220</v>
      </c>
      <c r="R26" s="151">
        <f>W!A273</f>
        <v>1035760</v>
      </c>
      <c r="S26" s="147"/>
      <c r="U26" s="78" t="s">
        <v>219</v>
      </c>
      <c r="X26" s="151">
        <f>W!A232</f>
        <v>16545</v>
      </c>
      <c r="Y26" s="147"/>
    </row>
    <row r="27" spans="2:25">
      <c r="B27" s="145"/>
      <c r="C27" s="78" t="s">
        <v>221</v>
      </c>
      <c r="F27" s="78">
        <f>L27</f>
        <v>-103558</v>
      </c>
      <c r="G27" s="147"/>
      <c r="I27" s="78" t="s">
        <v>222</v>
      </c>
      <c r="L27" s="78">
        <f>L24+L25-L26</f>
        <v>-103558</v>
      </c>
      <c r="M27" s="147"/>
      <c r="O27" s="97" t="s">
        <v>223</v>
      </c>
      <c r="R27" s="149">
        <f>SUM(R24:R26)</f>
        <v>1145439</v>
      </c>
      <c r="S27" s="147"/>
      <c r="U27" s="78" t="s">
        <v>224</v>
      </c>
      <c r="X27" s="78">
        <f>X22-X23-X24+X25-X26</f>
        <v>-16545</v>
      </c>
      <c r="Y27" s="147"/>
    </row>
    <row r="28" spans="2:25">
      <c r="B28" s="145"/>
      <c r="C28" s="78" t="s">
        <v>225</v>
      </c>
      <c r="F28" s="151">
        <f>W!A240</f>
        <v>-247640</v>
      </c>
      <c r="G28" s="147"/>
      <c r="I28" s="78" t="s">
        <v>226</v>
      </c>
      <c r="L28" s="151">
        <f>W!A255</f>
        <v>0</v>
      </c>
      <c r="M28" s="147"/>
      <c r="O28" s="78" t="s">
        <v>227</v>
      </c>
      <c r="R28" s="149">
        <f>W!A274</f>
        <v>0</v>
      </c>
      <c r="S28" s="147"/>
      <c r="X28" s="98"/>
      <c r="Y28" s="147"/>
    </row>
    <row r="29" spans="2:25">
      <c r="B29" s="145"/>
      <c r="C29" s="78" t="s">
        <v>228</v>
      </c>
      <c r="F29" s="78">
        <f>W!A257</f>
        <v>-351198</v>
      </c>
      <c r="G29" s="147"/>
      <c r="I29" s="78" t="s">
        <v>229</v>
      </c>
      <c r="L29" s="149">
        <f>W!A256</f>
        <v>-103558</v>
      </c>
      <c r="M29" s="147"/>
      <c r="S29" s="147"/>
      <c r="U29" s="78" t="s">
        <v>230</v>
      </c>
      <c r="X29" s="78">
        <f>W!A233</f>
        <v>-983023</v>
      </c>
      <c r="Y29" s="147"/>
    </row>
    <row r="30" spans="2:25">
      <c r="B30" s="145"/>
      <c r="G30" s="147"/>
      <c r="I30" s="78" t="s">
        <v>231</v>
      </c>
      <c r="L30" s="154">
        <f>IF(R33&gt;0,100*L29/R33,0)</f>
        <v>-3.4519333333333333</v>
      </c>
      <c r="M30" s="147"/>
      <c r="O30" s="78" t="s">
        <v>232</v>
      </c>
      <c r="R30" s="149">
        <f>R21-R27-R28</f>
        <v>2648802</v>
      </c>
      <c r="S30" s="147"/>
      <c r="U30" s="78" t="s">
        <v>233</v>
      </c>
      <c r="X30" s="150">
        <f>W!A234</f>
        <v>1847263</v>
      </c>
      <c r="Y30" s="147"/>
    </row>
    <row r="31" spans="2:25">
      <c r="B31" s="145"/>
      <c r="G31" s="147"/>
      <c r="M31" s="147"/>
      <c r="S31" s="147"/>
      <c r="U31" s="78" t="s">
        <v>234</v>
      </c>
      <c r="X31" s="78">
        <f>R19-R26</f>
        <v>864240</v>
      </c>
      <c r="Y31" s="147"/>
    </row>
    <row r="32" spans="2:25">
      <c r="B32" s="145"/>
      <c r="G32" s="147"/>
      <c r="I32" s="97" t="s">
        <v>235</v>
      </c>
      <c r="L32" s="151">
        <f>W!A230</f>
        <v>0</v>
      </c>
      <c r="M32" s="147"/>
      <c r="O32" s="92" t="s">
        <v>236</v>
      </c>
      <c r="S32" s="147"/>
      <c r="U32" s="78" t="s">
        <v>237</v>
      </c>
      <c r="X32" s="78">
        <f>W!A270</f>
        <v>1900000</v>
      </c>
      <c r="Y32" s="147" t="s">
        <v>2</v>
      </c>
    </row>
    <row r="33" spans="2:25">
      <c r="B33" s="145"/>
      <c r="C33" s="78" t="s">
        <v>238</v>
      </c>
      <c r="F33" s="149">
        <f>W!A219</f>
        <v>0</v>
      </c>
      <c r="G33" s="147"/>
      <c r="I33" s="78" t="s">
        <v>239</v>
      </c>
      <c r="L33" s="149">
        <f>L29-L32</f>
        <v>-103558</v>
      </c>
      <c r="M33" s="147"/>
      <c r="O33" s="97" t="s">
        <v>240</v>
      </c>
      <c r="R33" s="149">
        <f>W!A275</f>
        <v>3000000</v>
      </c>
      <c r="S33" s="147"/>
      <c r="Y33" s="147"/>
    </row>
    <row r="34" spans="2:25">
      <c r="B34" s="145"/>
      <c r="C34" s="78" t="s">
        <v>241</v>
      </c>
      <c r="F34" s="149">
        <f>W!A220</f>
        <v>979</v>
      </c>
      <c r="G34" s="147"/>
      <c r="I34" s="78" t="s">
        <v>242</v>
      </c>
      <c r="L34" s="151">
        <f>W!A260</f>
        <v>-247640</v>
      </c>
      <c r="M34" s="147"/>
      <c r="O34" s="78" t="s">
        <v>243</v>
      </c>
      <c r="R34" s="149">
        <f>W!A276</f>
        <v>0</v>
      </c>
      <c r="S34" s="147"/>
      <c r="U34" s="78" t="s">
        <v>244</v>
      </c>
      <c r="X34" s="78">
        <f>W!A238</f>
        <v>380000</v>
      </c>
      <c r="Y34" s="147"/>
    </row>
    <row r="35" spans="2:25">
      <c r="B35" s="145"/>
      <c r="G35" s="147"/>
      <c r="I35" s="78" t="s">
        <v>245</v>
      </c>
      <c r="L35" s="78">
        <f>L33+L34</f>
        <v>-351198</v>
      </c>
      <c r="M35" s="147"/>
      <c r="O35" s="78" t="s">
        <v>246</v>
      </c>
      <c r="R35" s="151">
        <f>R36-R33-R34</f>
        <v>-351198</v>
      </c>
      <c r="S35" s="147"/>
      <c r="U35" s="78" t="s">
        <v>247</v>
      </c>
      <c r="X35" s="78">
        <f>W!A239</f>
        <v>1025000</v>
      </c>
      <c r="Y35" s="147"/>
    </row>
    <row r="36" spans="2:25">
      <c r="B36" s="145"/>
      <c r="G36" s="147"/>
      <c r="M36" s="147"/>
      <c r="O36" s="78" t="s">
        <v>248</v>
      </c>
      <c r="R36" s="149">
        <f>W!A277</f>
        <v>2648802</v>
      </c>
      <c r="S36" s="147"/>
      <c r="Y36" s="147"/>
    </row>
    <row r="37" spans="2:25">
      <c r="B37" s="155"/>
      <c r="C37" s="150"/>
      <c r="D37" s="150"/>
      <c r="E37" s="150"/>
      <c r="F37" s="150"/>
      <c r="G37" s="150"/>
      <c r="H37" s="155"/>
      <c r="I37" s="150"/>
      <c r="J37" s="150"/>
      <c r="K37" s="150"/>
      <c r="L37" s="150"/>
      <c r="M37" s="156"/>
      <c r="N37" s="150"/>
      <c r="O37" s="150"/>
      <c r="P37" s="150"/>
      <c r="Q37" s="150"/>
      <c r="R37" s="150"/>
      <c r="S37" s="156"/>
      <c r="T37" s="150"/>
      <c r="U37" s="150"/>
      <c r="V37" s="150"/>
      <c r="W37" s="150"/>
      <c r="X37" s="150"/>
      <c r="Y37" s="156"/>
    </row>
    <row r="38" spans="2:25" ht="34.799999999999997" customHeight="1">
      <c r="B38" s="171" t="s">
        <v>328</v>
      </c>
      <c r="C38" s="172"/>
      <c r="D38" s="172"/>
      <c r="E38" s="172"/>
      <c r="F38" s="172"/>
      <c r="G38" s="172"/>
      <c r="H38" s="172"/>
      <c r="I38" s="172"/>
      <c r="J38" s="172"/>
      <c r="K38" s="172"/>
      <c r="L38" s="172"/>
      <c r="M38" s="172"/>
      <c r="N38" s="172"/>
      <c r="O38" s="172"/>
      <c r="P38" s="172"/>
      <c r="Q38" s="172"/>
      <c r="R38" s="172"/>
      <c r="S38" s="172"/>
      <c r="T38" s="172"/>
      <c r="U38" s="172"/>
      <c r="V38" s="172"/>
      <c r="W38" s="172"/>
      <c r="X38" s="172"/>
      <c r="Y38" s="172"/>
    </row>
    <row r="39" spans="2:25">
      <c r="M39" s="110"/>
    </row>
    <row r="41" spans="2:25" ht="11.4">
      <c r="S41" s="17"/>
    </row>
    <row r="45" spans="2:25">
      <c r="P45" s="78" t="s">
        <v>1</v>
      </c>
    </row>
    <row r="46" spans="2:25">
      <c r="K46" s="78" t="s">
        <v>1</v>
      </c>
      <c r="L46" s="149"/>
    </row>
    <row r="47" spans="2:25">
      <c r="L47" s="149"/>
    </row>
    <row r="59" spans="1:1">
      <c r="A59" s="150"/>
    </row>
  </sheetData>
  <mergeCells count="1">
    <mergeCell ref="B38:Y38"/>
  </mergeCells>
  <phoneticPr fontId="14" type="noConversion"/>
  <pageMargins left="0.55138888888888893" right="0.35416666666666669" top="0.59027777777777779" bottom="0.59027777777777779" header="0.51180555555555562" footer="0.51180555555555562"/>
  <pageSetup paperSize="9" firstPageNumber="0" orientation="landscape" horizontalDpi="300" verticalDpi="3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Q114"/>
  <sheetViews>
    <sheetView showGridLines="0" workbookViewId="0">
      <selection activeCell="I11" sqref="I11"/>
    </sheetView>
  </sheetViews>
  <sheetFormatPr defaultColWidth="9.109375" defaultRowHeight="11.4"/>
  <cols>
    <col min="1" max="1" width="2" style="17" customWidth="1"/>
    <col min="2" max="2" width="1.5546875" style="17" customWidth="1"/>
    <col min="3" max="3" width="11.44140625" style="17" customWidth="1"/>
    <col min="4" max="4" width="9.6640625" style="17" customWidth="1"/>
    <col min="5" max="8" width="8.6640625" style="17" customWidth="1"/>
    <col min="9" max="9" width="8.6640625" style="26" customWidth="1"/>
    <col min="10" max="13" width="8.6640625" style="17" customWidth="1"/>
    <col min="14" max="14" width="3" style="17" customWidth="1"/>
    <col min="15" max="16384" width="9.109375" style="17"/>
  </cols>
  <sheetData>
    <row r="1" spans="2:14" ht="13.8">
      <c r="B1" s="99"/>
      <c r="C1" s="20"/>
      <c r="F1" s="100"/>
      <c r="G1" s="157" t="s">
        <v>249</v>
      </c>
      <c r="I1" s="139" t="s">
        <v>7</v>
      </c>
      <c r="J1" s="14">
        <f>W!$A1</f>
        <v>0</v>
      </c>
      <c r="K1" s="139" t="s">
        <v>10</v>
      </c>
      <c r="L1" s="14">
        <f>W!$A4</f>
        <v>2025</v>
      </c>
      <c r="M1" s="139" t="s">
        <v>11</v>
      </c>
      <c r="N1" s="115">
        <f>W!$A5</f>
        <v>2</v>
      </c>
    </row>
    <row r="3" spans="2:14">
      <c r="B3" s="30"/>
      <c r="C3" s="66"/>
      <c r="D3" s="66"/>
      <c r="E3" s="66"/>
      <c r="F3" s="66"/>
      <c r="G3" s="66"/>
      <c r="H3" s="66"/>
      <c r="I3" s="105"/>
      <c r="J3" s="66"/>
      <c r="K3" s="66"/>
      <c r="L3" s="66"/>
      <c r="M3" s="66"/>
      <c r="N3" s="73"/>
    </row>
    <row r="4" spans="2:14" ht="12">
      <c r="B4" s="106"/>
      <c r="C4" s="20" t="s">
        <v>250</v>
      </c>
      <c r="D4" s="20"/>
      <c r="E4" s="20"/>
      <c r="G4" s="32" t="s">
        <v>297</v>
      </c>
      <c r="H4" s="32" t="s">
        <v>322</v>
      </c>
      <c r="I4" s="26" t="s">
        <v>251</v>
      </c>
      <c r="N4" s="22"/>
    </row>
    <row r="5" spans="2:14">
      <c r="B5" s="106"/>
      <c r="C5" s="85" t="s">
        <v>252</v>
      </c>
      <c r="G5" s="32">
        <f>W!A505</f>
        <v>3778</v>
      </c>
      <c r="H5" s="32">
        <f>W!A506</f>
        <v>3982</v>
      </c>
      <c r="I5" s="32">
        <f>W!A504</f>
        <v>59</v>
      </c>
      <c r="K5" s="26"/>
      <c r="N5" s="22"/>
    </row>
    <row r="6" spans="2:14">
      <c r="B6" s="106"/>
      <c r="C6" s="85" t="s">
        <v>253</v>
      </c>
      <c r="G6" s="158">
        <f>W!A507/10</f>
        <v>7.1</v>
      </c>
      <c r="H6" s="158">
        <f>W!A508/10</f>
        <v>5.4</v>
      </c>
      <c r="I6" s="32"/>
      <c r="K6" s="26"/>
      <c r="L6" s="41"/>
      <c r="N6" s="22"/>
    </row>
    <row r="7" spans="2:14">
      <c r="B7" s="106"/>
      <c r="C7" s="26" t="s">
        <v>254</v>
      </c>
      <c r="G7" s="32">
        <f>W!A509</f>
        <v>1298</v>
      </c>
      <c r="H7" s="32">
        <f>W!A510</f>
        <v>2515</v>
      </c>
      <c r="I7" s="32"/>
      <c r="K7" s="26"/>
      <c r="L7" s="41"/>
      <c r="N7" s="22"/>
    </row>
    <row r="8" spans="2:14">
      <c r="B8" s="106"/>
      <c r="C8" s="26"/>
      <c r="H8" s="41"/>
      <c r="I8" s="32"/>
      <c r="K8" s="41"/>
      <c r="L8" s="41"/>
      <c r="N8" s="22"/>
    </row>
    <row r="9" spans="2:14" ht="12">
      <c r="B9" s="106"/>
      <c r="C9" s="21" t="s">
        <v>255</v>
      </c>
      <c r="E9" s="20"/>
      <c r="H9" s="41"/>
      <c r="I9" s="32"/>
      <c r="K9" s="41"/>
      <c r="L9" s="41" t="s">
        <v>1</v>
      </c>
      <c r="N9" s="22"/>
    </row>
    <row r="10" spans="2:14">
      <c r="B10" s="106"/>
      <c r="C10" s="85" t="s">
        <v>256</v>
      </c>
      <c r="G10" s="158">
        <f>W!A501/10</f>
        <v>2.5</v>
      </c>
      <c r="H10" s="158">
        <f>W!A502/10</f>
        <v>1</v>
      </c>
      <c r="I10" s="26" t="s">
        <v>333</v>
      </c>
      <c r="J10" s="26"/>
      <c r="K10" s="41"/>
      <c r="L10" s="159">
        <f>W!A511/100</f>
        <v>0.75</v>
      </c>
      <c r="N10" s="22"/>
    </row>
    <row r="11" spans="2:14">
      <c r="B11" s="106"/>
      <c r="C11" s="26"/>
      <c r="D11" s="101"/>
      <c r="E11" s="101"/>
      <c r="F11" s="101"/>
      <c r="I11" s="32"/>
      <c r="K11" s="41"/>
      <c r="L11" s="41"/>
      <c r="N11" s="22"/>
    </row>
    <row r="12" spans="2:14">
      <c r="B12" s="106"/>
      <c r="H12" s="32"/>
      <c r="I12" s="32"/>
      <c r="J12" s="41"/>
      <c r="K12" s="41"/>
      <c r="L12" s="41"/>
      <c r="N12" s="22"/>
    </row>
    <row r="13" spans="2:14">
      <c r="B13" s="106"/>
      <c r="C13" s="17" t="s">
        <v>320</v>
      </c>
      <c r="G13" s="32">
        <f>W!A518</f>
        <v>500</v>
      </c>
      <c r="I13" s="32"/>
      <c r="J13" s="41"/>
      <c r="K13" s="41"/>
      <c r="L13" s="41"/>
      <c r="N13" s="22"/>
    </row>
    <row r="14" spans="2:14">
      <c r="B14" s="106"/>
      <c r="H14" s="41"/>
      <c r="I14" s="32"/>
      <c r="J14" s="41"/>
      <c r="K14" s="41"/>
      <c r="L14" s="41"/>
      <c r="N14" s="22"/>
    </row>
    <row r="15" spans="2:14">
      <c r="B15" s="106"/>
      <c r="C15" s="17" t="s">
        <v>321</v>
      </c>
      <c r="G15" s="26" t="s">
        <v>57</v>
      </c>
      <c r="H15" s="26" t="s">
        <v>58</v>
      </c>
      <c r="I15" s="32" t="s">
        <v>59</v>
      </c>
      <c r="K15" s="26"/>
      <c r="L15" s="41"/>
      <c r="N15" s="22"/>
    </row>
    <row r="16" spans="2:14">
      <c r="B16" s="106"/>
      <c r="C16" s="17" t="s">
        <v>257</v>
      </c>
      <c r="G16" s="160">
        <f>INT(L10*G20/1000) + 60</f>
        <v>97</v>
      </c>
      <c r="H16" s="160">
        <f>INT(L10*2*G20/1000) + 75</f>
        <v>149</v>
      </c>
      <c r="I16" s="160">
        <f>INT(L10*3*G20/1000) + 120</f>
        <v>231</v>
      </c>
      <c r="K16" s="41"/>
      <c r="L16" s="41"/>
      <c r="M16" s="41"/>
      <c r="N16" s="22"/>
    </row>
    <row r="17" spans="2:14">
      <c r="B17" s="106"/>
      <c r="C17" s="17" t="s">
        <v>258</v>
      </c>
      <c r="G17" s="160">
        <f>INT(L10*1.5*G20/1000) + 60</f>
        <v>115</v>
      </c>
      <c r="H17" s="160">
        <f>INT(L10*1.5*2*G20/1000) + 75</f>
        <v>186</v>
      </c>
      <c r="I17" s="160">
        <f>INT(L10*1.5*3*G20/1000) + 120</f>
        <v>287</v>
      </c>
      <c r="K17" s="41"/>
      <c r="L17" s="41"/>
      <c r="M17" s="41"/>
      <c r="N17" s="22"/>
    </row>
    <row r="18" spans="2:14">
      <c r="B18" s="106"/>
      <c r="H18" s="41"/>
      <c r="I18" s="32"/>
      <c r="J18" s="41"/>
      <c r="K18" s="41"/>
      <c r="L18" s="41"/>
      <c r="N18" s="22"/>
    </row>
    <row r="19" spans="2:14">
      <c r="B19" s="106"/>
      <c r="G19" s="161" t="s">
        <v>23</v>
      </c>
      <c r="H19" s="161" t="s">
        <v>24</v>
      </c>
      <c r="I19" s="161" t="s">
        <v>25</v>
      </c>
      <c r="K19" s="41"/>
      <c r="L19" s="41"/>
      <c r="N19" s="22"/>
    </row>
    <row r="20" spans="2:14">
      <c r="B20" s="106"/>
      <c r="C20" s="17" t="s">
        <v>327</v>
      </c>
      <c r="G20" s="108">
        <f>W!A515</f>
        <v>49661</v>
      </c>
      <c r="H20" s="108">
        <f>W!A516</f>
        <v>49414</v>
      </c>
      <c r="I20" s="108">
        <f>W!A517</f>
        <v>48662</v>
      </c>
      <c r="K20" s="41"/>
      <c r="L20" s="41"/>
      <c r="N20" s="22"/>
    </row>
    <row r="21" spans="2:14">
      <c r="B21" s="106"/>
      <c r="H21" s="41"/>
      <c r="J21" s="41"/>
      <c r="K21" s="41"/>
      <c r="L21" s="41"/>
      <c r="N21" s="22"/>
    </row>
    <row r="22" spans="2:14">
      <c r="B22" s="106"/>
      <c r="H22" s="41"/>
      <c r="J22" s="41"/>
      <c r="K22" s="41"/>
      <c r="L22" s="41"/>
      <c r="N22" s="22"/>
    </row>
    <row r="23" spans="2:14" ht="12">
      <c r="B23" s="106"/>
      <c r="C23" s="20" t="s">
        <v>259</v>
      </c>
      <c r="F23" s="65" t="str">
        <f>W!A681</f>
        <v>Малые предприятия могут получить преимущества перед своими более</v>
      </c>
      <c r="N23" s="22"/>
    </row>
    <row r="24" spans="2:14" ht="12">
      <c r="B24" s="106"/>
      <c r="C24" s="20"/>
      <c r="F24" s="65" t="str">
        <f>W!A682</f>
        <v>крупными конкурентами за счет более быстрого выполнения работ и</v>
      </c>
      <c r="N24" s="22"/>
    </row>
    <row r="25" spans="2:14" ht="12">
      <c r="B25" s="106"/>
      <c r="C25" s="20"/>
      <c r="F25" s="65" t="str">
        <f>W!A683</f>
        <v>совершенствования существующих продуктов.</v>
      </c>
      <c r="N25" s="22"/>
    </row>
    <row r="26" spans="2:14">
      <c r="B26" s="106"/>
      <c r="C26" s="65"/>
      <c r="F26" s="65" t="str">
        <f>W!A684</f>
        <v xml:space="preserve"> </v>
      </c>
      <c r="G26" s="65"/>
      <c r="H26" s="65"/>
      <c r="I26" s="29"/>
      <c r="J26" s="65"/>
      <c r="N26" s="22"/>
    </row>
    <row r="27" spans="2:14">
      <c r="B27" s="106"/>
      <c r="C27" s="65"/>
      <c r="F27" s="65" t="str">
        <f>W!A685</f>
        <v xml:space="preserve"> </v>
      </c>
      <c r="G27" s="65"/>
      <c r="H27" s="65"/>
      <c r="I27" s="29"/>
      <c r="J27" s="65"/>
      <c r="N27" s="22"/>
    </row>
    <row r="28" spans="2:14">
      <c r="B28" s="106"/>
      <c r="C28" s="65"/>
      <c r="F28" s="65" t="str">
        <f>W!A686</f>
        <v xml:space="preserve"> </v>
      </c>
      <c r="G28" s="65"/>
      <c r="H28" s="65"/>
      <c r="I28" s="29"/>
      <c r="J28" s="65"/>
      <c r="N28" s="22"/>
    </row>
    <row r="29" spans="2:14">
      <c r="B29" s="162"/>
      <c r="C29" s="163"/>
      <c r="D29" s="163"/>
      <c r="E29" s="163"/>
      <c r="F29" s="163"/>
      <c r="G29" s="163"/>
      <c r="H29" s="163"/>
      <c r="I29" s="77"/>
      <c r="J29" s="163"/>
      <c r="K29" s="163"/>
      <c r="L29" s="163"/>
      <c r="M29" s="163"/>
      <c r="N29" s="68"/>
    </row>
    <row r="30" spans="2:14">
      <c r="D30" s="29"/>
      <c r="E30" s="65"/>
      <c r="F30" s="65"/>
      <c r="G30" s="65"/>
      <c r="H30" s="65"/>
      <c r="I30" s="29"/>
      <c r="J30" s="65"/>
    </row>
    <row r="31" spans="2:14">
      <c r="B31" s="30"/>
      <c r="C31" s="66"/>
      <c r="D31" s="164"/>
      <c r="E31" s="165"/>
      <c r="F31" s="165"/>
      <c r="G31" s="165"/>
      <c r="H31" s="165"/>
      <c r="I31" s="164"/>
      <c r="J31" s="165"/>
      <c r="K31" s="66"/>
      <c r="L31" s="66"/>
      <c r="M31" s="66"/>
      <c r="N31" s="73"/>
    </row>
    <row r="32" spans="2:14" ht="12">
      <c r="B32" s="106"/>
      <c r="C32" s="20" t="s">
        <v>260</v>
      </c>
      <c r="D32" s="29"/>
      <c r="E32" s="65"/>
      <c r="F32" s="36" t="s">
        <v>6</v>
      </c>
      <c r="G32" s="36" t="s">
        <v>6</v>
      </c>
      <c r="H32" s="36" t="s">
        <v>6</v>
      </c>
      <c r="I32" s="36" t="s">
        <v>6</v>
      </c>
      <c r="J32" s="36" t="s">
        <v>6</v>
      </c>
      <c r="K32" s="36" t="s">
        <v>6</v>
      </c>
      <c r="L32" s="36" t="s">
        <v>6</v>
      </c>
      <c r="M32" s="36" t="s">
        <v>6</v>
      </c>
      <c r="N32" s="22"/>
    </row>
    <row r="33" spans="2:17" ht="12">
      <c r="B33" s="106"/>
      <c r="F33" s="102">
        <f>W!A521</f>
        <v>1</v>
      </c>
      <c r="G33" s="102">
        <f>W!A541</f>
        <v>2</v>
      </c>
      <c r="H33" s="102">
        <f>W!A561</f>
        <v>3</v>
      </c>
      <c r="I33" s="102">
        <f>W!A581</f>
        <v>4</v>
      </c>
      <c r="J33" s="102">
        <f>W!A601</f>
        <v>5</v>
      </c>
      <c r="K33" s="102">
        <f>W!A621</f>
        <v>6</v>
      </c>
      <c r="L33" s="102">
        <f>W!A641</f>
        <v>7</v>
      </c>
      <c r="M33" s="102">
        <f>W!A661</f>
        <v>8</v>
      </c>
      <c r="N33" s="22"/>
      <c r="Q33" s="17" t="s">
        <v>1</v>
      </c>
    </row>
    <row r="34" spans="2:17" ht="12">
      <c r="B34" s="106"/>
      <c r="C34" s="20" t="s">
        <v>261</v>
      </c>
      <c r="I34" s="41"/>
      <c r="N34" s="22"/>
    </row>
    <row r="35" spans="2:17">
      <c r="B35" s="106"/>
      <c r="C35" s="17" t="s">
        <v>318</v>
      </c>
      <c r="F35" s="41">
        <f>W!A522/100</f>
        <v>93.66</v>
      </c>
      <c r="G35" s="41">
        <f>W!A542/100</f>
        <v>93.66</v>
      </c>
      <c r="H35" s="41">
        <f>W!A562/100</f>
        <v>93.66</v>
      </c>
      <c r="I35" s="41">
        <f>W!A582/100</f>
        <v>93.66</v>
      </c>
      <c r="J35" s="41">
        <f>W!A602/100</f>
        <v>93.66</v>
      </c>
      <c r="K35" s="41">
        <f>W!A622/100</f>
        <v>93.66</v>
      </c>
      <c r="L35" s="41">
        <f>W!A642/100</f>
        <v>93.66</v>
      </c>
      <c r="M35" s="41">
        <f>W!A662/100</f>
        <v>93.66</v>
      </c>
      <c r="N35" s="48"/>
    </row>
    <row r="36" spans="2:17">
      <c r="B36" s="106"/>
      <c r="C36" s="17" t="s">
        <v>314</v>
      </c>
      <c r="F36" s="41">
        <f>W!A523</f>
        <v>2809800</v>
      </c>
      <c r="G36" s="41">
        <f>W!A543</f>
        <v>2809800</v>
      </c>
      <c r="H36" s="41">
        <f>W!A563</f>
        <v>2809800</v>
      </c>
      <c r="I36" s="41">
        <f>W!A583</f>
        <v>2809800</v>
      </c>
      <c r="J36" s="41">
        <f>W!A603</f>
        <v>2809800</v>
      </c>
      <c r="K36" s="41">
        <f>W!A623</f>
        <v>2809800</v>
      </c>
      <c r="L36" s="41">
        <f>W!A643</f>
        <v>2809800</v>
      </c>
      <c r="M36" s="41">
        <f>W!A663</f>
        <v>2809800</v>
      </c>
      <c r="N36" s="48"/>
      <c r="P36" s="78"/>
    </row>
    <row r="37" spans="2:17">
      <c r="B37" s="106"/>
      <c r="I37" s="41"/>
      <c r="N37" s="48"/>
    </row>
    <row r="38" spans="2:17">
      <c r="B38" s="106"/>
      <c r="C38" s="17" t="s">
        <v>262</v>
      </c>
      <c r="F38" s="41">
        <f>W!A524</f>
        <v>0</v>
      </c>
      <c r="G38" s="41">
        <f>W!A544</f>
        <v>0</v>
      </c>
      <c r="H38" s="41">
        <f>W!A564</f>
        <v>0</v>
      </c>
      <c r="I38" s="41">
        <f>W!A584</f>
        <v>0</v>
      </c>
      <c r="J38" s="41">
        <f>W!A604</f>
        <v>0</v>
      </c>
      <c r="K38" s="41">
        <f>W!A624</f>
        <v>0</v>
      </c>
      <c r="L38" s="41">
        <f>W!A644</f>
        <v>0</v>
      </c>
      <c r="M38" s="41">
        <f>W!A664</f>
        <v>0</v>
      </c>
      <c r="N38" s="48"/>
    </row>
    <row r="39" spans="2:17">
      <c r="B39" s="106"/>
      <c r="C39" s="17" t="s">
        <v>263</v>
      </c>
      <c r="F39" s="41">
        <f>W!A525</f>
        <v>2809800</v>
      </c>
      <c r="G39" s="41">
        <f>W!A545</f>
        <v>2809800</v>
      </c>
      <c r="H39" s="41">
        <f>W!A565</f>
        <v>2809800</v>
      </c>
      <c r="I39" s="41">
        <f>W!A585</f>
        <v>2809800</v>
      </c>
      <c r="J39" s="41">
        <f>W!A605</f>
        <v>2809800</v>
      </c>
      <c r="K39" s="41">
        <f>W!A625</f>
        <v>2809800</v>
      </c>
      <c r="L39" s="41">
        <f>W!A645</f>
        <v>2809800</v>
      </c>
      <c r="M39" s="41">
        <f>W!A665</f>
        <v>2809800</v>
      </c>
      <c r="N39" s="48"/>
    </row>
    <row r="40" spans="2:17">
      <c r="B40" s="106"/>
      <c r="I40" s="41"/>
      <c r="N40" s="48"/>
    </row>
    <row r="41" spans="2:17" ht="12">
      <c r="B41" s="106"/>
      <c r="C41" s="20" t="s">
        <v>264</v>
      </c>
      <c r="F41" s="41"/>
      <c r="G41" s="41"/>
      <c r="H41" s="41"/>
      <c r="I41" s="41"/>
      <c r="N41" s="48"/>
    </row>
    <row r="42" spans="2:17">
      <c r="B42" s="106"/>
      <c r="C42" s="17" t="s">
        <v>315</v>
      </c>
      <c r="F42" s="41"/>
      <c r="G42" s="41"/>
      <c r="H42" s="41"/>
      <c r="I42" s="41"/>
      <c r="N42" s="48"/>
    </row>
    <row r="43" spans="2:17">
      <c r="B43" s="106"/>
      <c r="C43" s="17" t="s">
        <v>301</v>
      </c>
      <c r="F43" s="41">
        <f>W!A526</f>
        <v>285</v>
      </c>
      <c r="G43" s="41">
        <f>W!A546</f>
        <v>285</v>
      </c>
      <c r="H43" s="41">
        <f>W!A566</f>
        <v>285</v>
      </c>
      <c r="I43" s="41">
        <f>W!A586</f>
        <v>285</v>
      </c>
      <c r="J43" s="41">
        <f>W!A606</f>
        <v>285</v>
      </c>
      <c r="K43" s="41">
        <f>W!A626</f>
        <v>285</v>
      </c>
      <c r="L43" s="41">
        <f>W!A646</f>
        <v>285</v>
      </c>
      <c r="M43" s="41">
        <f>W!A666</f>
        <v>285</v>
      </c>
      <c r="N43" s="48"/>
    </row>
    <row r="44" spans="2:17">
      <c r="B44" s="106"/>
      <c r="C44" s="17" t="s">
        <v>3</v>
      </c>
      <c r="D44" s="26" t="s">
        <v>323</v>
      </c>
      <c r="F44" s="41">
        <f>W!A527</f>
        <v>0</v>
      </c>
      <c r="G44" s="41">
        <f>W!A547</f>
        <v>0</v>
      </c>
      <c r="H44" s="41">
        <f>W!A567</f>
        <v>0</v>
      </c>
      <c r="I44" s="41">
        <f>W!A587</f>
        <v>0</v>
      </c>
      <c r="J44" s="41">
        <f>W!A607</f>
        <v>0</v>
      </c>
      <c r="K44" s="41">
        <f>W!A627</f>
        <v>0</v>
      </c>
      <c r="L44" s="41">
        <f>W!A647</f>
        <v>0</v>
      </c>
      <c r="M44" s="41">
        <f>W!A667</f>
        <v>0</v>
      </c>
      <c r="N44" s="48"/>
    </row>
    <row r="45" spans="2:17">
      <c r="B45" s="106"/>
      <c r="D45" s="17" t="s">
        <v>98</v>
      </c>
      <c r="F45" s="41">
        <f>W!A528</f>
        <v>0</v>
      </c>
      <c r="G45" s="41">
        <f>W!A548</f>
        <v>0</v>
      </c>
      <c r="H45" s="41">
        <f>W!A568</f>
        <v>0</v>
      </c>
      <c r="I45" s="41">
        <f>W!A588</f>
        <v>0</v>
      </c>
      <c r="J45" s="41">
        <f>W!A608</f>
        <v>0</v>
      </c>
      <c r="K45" s="41">
        <f>W!A628</f>
        <v>0</v>
      </c>
      <c r="L45" s="41">
        <f>W!A648</f>
        <v>0</v>
      </c>
      <c r="M45" s="41">
        <f>W!A668</f>
        <v>0</v>
      </c>
      <c r="N45" s="48"/>
    </row>
    <row r="46" spans="2:17">
      <c r="B46" s="106"/>
      <c r="C46" s="17" t="s">
        <v>302</v>
      </c>
      <c r="F46" s="41">
        <f>W!A529</f>
        <v>450</v>
      </c>
      <c r="G46" s="41">
        <f>W!A549</f>
        <v>450</v>
      </c>
      <c r="H46" s="41">
        <f>W!A569</f>
        <v>450</v>
      </c>
      <c r="I46" s="41">
        <f>W!A589</f>
        <v>450</v>
      </c>
      <c r="J46" s="41">
        <f>W!A609</f>
        <v>450</v>
      </c>
      <c r="K46" s="41">
        <f>W!A629</f>
        <v>450</v>
      </c>
      <c r="L46" s="41">
        <f>W!A649</f>
        <v>450</v>
      </c>
      <c r="M46" s="41">
        <f>W!A669</f>
        <v>450</v>
      </c>
      <c r="N46" s="48"/>
    </row>
    <row r="47" spans="2:17">
      <c r="B47" s="106"/>
      <c r="C47" s="17" t="s">
        <v>3</v>
      </c>
      <c r="D47" s="26" t="s">
        <v>323</v>
      </c>
      <c r="F47" s="41">
        <f>W!A530</f>
        <v>0</v>
      </c>
      <c r="G47" s="41">
        <f>W!A550</f>
        <v>0</v>
      </c>
      <c r="H47" s="41">
        <f>W!A570</f>
        <v>0</v>
      </c>
      <c r="I47" s="41">
        <f>W!A590</f>
        <v>0</v>
      </c>
      <c r="J47" s="41">
        <f>W!A610</f>
        <v>0</v>
      </c>
      <c r="K47" s="41">
        <f>W!A630</f>
        <v>0</v>
      </c>
      <c r="L47" s="41">
        <f>W!A650</f>
        <v>0</v>
      </c>
      <c r="M47" s="41">
        <f>W!A670</f>
        <v>0</v>
      </c>
      <c r="N47" s="48"/>
    </row>
    <row r="48" spans="2:17">
      <c r="B48" s="106"/>
      <c r="D48" s="17" t="s">
        <v>98</v>
      </c>
      <c r="F48" s="41">
        <f>W!A531</f>
        <v>0</v>
      </c>
      <c r="G48" s="41">
        <f>W!A551</f>
        <v>0</v>
      </c>
      <c r="H48" s="41">
        <f>W!A571</f>
        <v>0</v>
      </c>
      <c r="I48" s="41">
        <f>W!A591</f>
        <v>0</v>
      </c>
      <c r="J48" s="41">
        <f>W!A611</f>
        <v>0</v>
      </c>
      <c r="K48" s="41">
        <f>W!A631</f>
        <v>0</v>
      </c>
      <c r="L48" s="41">
        <f>W!A651</f>
        <v>0</v>
      </c>
      <c r="M48" s="41">
        <f>W!A671</f>
        <v>0</v>
      </c>
      <c r="N48" s="48"/>
    </row>
    <row r="49" spans="2:14">
      <c r="B49" s="106"/>
      <c r="C49" s="17" t="s">
        <v>303</v>
      </c>
      <c r="F49" s="41">
        <f>W!A532</f>
        <v>680</v>
      </c>
      <c r="G49" s="41">
        <f>W!A552</f>
        <v>680</v>
      </c>
      <c r="H49" s="41">
        <f>W!A572</f>
        <v>680</v>
      </c>
      <c r="I49" s="41">
        <f>W!A592</f>
        <v>680</v>
      </c>
      <c r="J49" s="41">
        <f>W!A612</f>
        <v>680</v>
      </c>
      <c r="K49" s="41">
        <f>W!A632</f>
        <v>680</v>
      </c>
      <c r="L49" s="41">
        <f>W!A652</f>
        <v>680</v>
      </c>
      <c r="M49" s="41">
        <f>W!A672</f>
        <v>680</v>
      </c>
      <c r="N49" s="48"/>
    </row>
    <row r="50" spans="2:14">
      <c r="B50" s="106"/>
      <c r="C50" s="17" t="s">
        <v>3</v>
      </c>
      <c r="D50" s="26" t="s">
        <v>323</v>
      </c>
      <c r="F50" s="41">
        <f>W!A533</f>
        <v>0</v>
      </c>
      <c r="G50" s="41">
        <f>W!A553</f>
        <v>0</v>
      </c>
      <c r="H50" s="41">
        <f>W!A573</f>
        <v>0</v>
      </c>
      <c r="I50" s="41">
        <f>W!A593</f>
        <v>0</v>
      </c>
      <c r="J50" s="41">
        <f>W!A613</f>
        <v>0</v>
      </c>
      <c r="K50" s="41">
        <f>W!A633</f>
        <v>0</v>
      </c>
      <c r="L50" s="41">
        <f>W!A653</f>
        <v>0</v>
      </c>
      <c r="M50" s="41">
        <f>W!A673</f>
        <v>0</v>
      </c>
      <c r="N50" s="48"/>
    </row>
    <row r="51" spans="2:14">
      <c r="B51" s="106"/>
      <c r="D51" s="17" t="s">
        <v>98</v>
      </c>
      <c r="F51" s="41">
        <f>W!A534</f>
        <v>0</v>
      </c>
      <c r="G51" s="41">
        <f>W!A554</f>
        <v>0</v>
      </c>
      <c r="H51" s="41">
        <f>W!A574</f>
        <v>0</v>
      </c>
      <c r="I51" s="41">
        <f>W!A594</f>
        <v>0</v>
      </c>
      <c r="J51" s="41">
        <f>W!A614</f>
        <v>0</v>
      </c>
      <c r="K51" s="41">
        <f>W!A634</f>
        <v>0</v>
      </c>
      <c r="L51" s="41">
        <f>W!A654</f>
        <v>0</v>
      </c>
      <c r="M51" s="41">
        <f>W!A674</f>
        <v>0</v>
      </c>
      <c r="N51" s="48"/>
    </row>
    <row r="52" spans="2:14">
      <c r="B52" s="106"/>
      <c r="F52" s="41"/>
      <c r="G52" s="41"/>
      <c r="H52" s="41"/>
      <c r="I52" s="41"/>
      <c r="J52" s="41"/>
      <c r="K52" s="41"/>
      <c r="L52" s="41"/>
      <c r="M52" s="41"/>
      <c r="N52" s="48"/>
    </row>
    <row r="53" spans="2:14">
      <c r="B53" s="106"/>
      <c r="C53" s="17" t="s">
        <v>265</v>
      </c>
      <c r="F53" s="41">
        <f>W!A535</f>
        <v>27</v>
      </c>
      <c r="G53" s="41">
        <f>W!A555</f>
        <v>27</v>
      </c>
      <c r="H53" s="41">
        <f>W!A575</f>
        <v>27</v>
      </c>
      <c r="I53" s="41">
        <f>W!A595</f>
        <v>27</v>
      </c>
      <c r="J53" s="41">
        <f>W!A615</f>
        <v>27</v>
      </c>
      <c r="K53" s="41">
        <f>W!A635</f>
        <v>27</v>
      </c>
      <c r="L53" s="41">
        <f>W!A655</f>
        <v>27</v>
      </c>
      <c r="M53" s="41">
        <f>W!A675</f>
        <v>27</v>
      </c>
      <c r="N53" s="48"/>
    </row>
    <row r="54" spans="2:14">
      <c r="B54" s="106"/>
      <c r="C54" s="84" t="s">
        <v>319</v>
      </c>
      <c r="F54" s="41">
        <f>W!A536</f>
        <v>1000</v>
      </c>
      <c r="G54" s="41">
        <f>W!A556</f>
        <v>1000</v>
      </c>
      <c r="H54" s="41">
        <f>W!A576</f>
        <v>1000</v>
      </c>
      <c r="I54" s="41">
        <f>W!A596</f>
        <v>1000</v>
      </c>
      <c r="J54" s="41">
        <f>W!A616</f>
        <v>1000</v>
      </c>
      <c r="K54" s="41">
        <f>W!A636</f>
        <v>1000</v>
      </c>
      <c r="L54" s="41">
        <f>W!A656</f>
        <v>1000</v>
      </c>
      <c r="M54" s="41">
        <f>W!A676</f>
        <v>1000</v>
      </c>
      <c r="N54" s="48"/>
    </row>
    <row r="55" spans="2:14">
      <c r="B55" s="106"/>
      <c r="C55" s="17" t="s">
        <v>266</v>
      </c>
      <c r="F55" s="41">
        <f>W!A537</f>
        <v>2</v>
      </c>
      <c r="G55" s="41">
        <f>W!A557</f>
        <v>2</v>
      </c>
      <c r="H55" s="41">
        <f>W!A577</f>
        <v>2</v>
      </c>
      <c r="I55" s="41">
        <f>W!A597</f>
        <v>2</v>
      </c>
      <c r="J55" s="41">
        <f>W!A617</f>
        <v>2</v>
      </c>
      <c r="K55" s="41">
        <f>W!A637</f>
        <v>2</v>
      </c>
      <c r="L55" s="41">
        <f>W!A657</f>
        <v>2</v>
      </c>
      <c r="M55" s="41">
        <f>W!A677</f>
        <v>2</v>
      </c>
      <c r="N55" s="48"/>
    </row>
    <row r="56" spans="2:14">
      <c r="B56" s="107"/>
      <c r="C56" s="59"/>
      <c r="D56" s="59"/>
      <c r="E56" s="59"/>
      <c r="F56" s="59"/>
      <c r="G56" s="59"/>
      <c r="H56" s="54"/>
      <c r="I56" s="72"/>
      <c r="J56" s="59"/>
      <c r="K56" s="59"/>
      <c r="L56" s="59"/>
      <c r="M56" s="54"/>
      <c r="N56" s="68"/>
    </row>
    <row r="57" spans="2:14" ht="45.6" customHeight="1">
      <c r="B57" s="173" t="s">
        <v>328</v>
      </c>
      <c r="C57" s="174"/>
      <c r="D57" s="174"/>
      <c r="E57" s="174"/>
      <c r="F57" s="174"/>
      <c r="G57" s="174"/>
      <c r="H57" s="174"/>
      <c r="I57" s="174"/>
      <c r="J57" s="174"/>
      <c r="K57" s="174"/>
      <c r="L57" s="174"/>
      <c r="M57" s="174"/>
      <c r="N57" s="174"/>
    </row>
    <row r="59" spans="2:14">
      <c r="H59" s="110"/>
    </row>
    <row r="60" spans="2:14">
      <c r="H60" s="41"/>
      <c r="M60" s="41"/>
    </row>
    <row r="61" spans="2:14" ht="13.8">
      <c r="B61" s="99"/>
      <c r="C61" s="20"/>
      <c r="F61" s="100"/>
      <c r="G61" s="157" t="s">
        <v>267</v>
      </c>
      <c r="I61" s="139" t="s">
        <v>7</v>
      </c>
      <c r="J61" s="14">
        <f>W!$A1</f>
        <v>0</v>
      </c>
      <c r="K61" s="139" t="s">
        <v>10</v>
      </c>
      <c r="L61" s="14">
        <f>W!$A4</f>
        <v>2025</v>
      </c>
      <c r="M61" s="139" t="s">
        <v>11</v>
      </c>
      <c r="N61" s="115">
        <f>W!$A5</f>
        <v>2</v>
      </c>
    </row>
    <row r="62" spans="2:14">
      <c r="H62" s="41"/>
      <c r="M62" s="41"/>
    </row>
    <row r="63" spans="2:14">
      <c r="B63" s="30"/>
      <c r="C63" s="66"/>
      <c r="D63" s="66"/>
      <c r="E63" s="66"/>
      <c r="F63" s="66"/>
      <c r="G63" s="66"/>
      <c r="H63" s="66"/>
      <c r="I63" s="105"/>
      <c r="J63" s="66"/>
      <c r="K63" s="66"/>
      <c r="L63" s="66"/>
      <c r="M63" s="66"/>
      <c r="N63" s="73"/>
    </row>
    <row r="64" spans="2:14" ht="12">
      <c r="B64" s="106"/>
      <c r="C64" s="20" t="s">
        <v>268</v>
      </c>
      <c r="D64" s="20"/>
      <c r="F64" s="41"/>
      <c r="G64" s="41"/>
      <c r="H64" s="41"/>
      <c r="J64" s="41"/>
      <c r="K64" s="26"/>
      <c r="L64" s="26"/>
      <c r="M64" s="41"/>
      <c r="N64" s="22"/>
    </row>
    <row r="65" spans="2:14" ht="12">
      <c r="B65" s="106"/>
      <c r="C65" s="20"/>
      <c r="D65" s="17" t="s">
        <v>269</v>
      </c>
      <c r="F65" s="19">
        <f>W!A701</f>
        <v>1</v>
      </c>
      <c r="G65" s="19">
        <f>W!A721</f>
        <v>2</v>
      </c>
      <c r="H65" s="19">
        <f>W!A741</f>
        <v>3</v>
      </c>
      <c r="I65" s="19">
        <f>W!A761</f>
        <v>4</v>
      </c>
      <c r="J65" s="19">
        <f>W!A781</f>
        <v>5</v>
      </c>
      <c r="K65" s="19">
        <f>W!A801</f>
        <v>6</v>
      </c>
      <c r="L65" s="19">
        <f>W!A821</f>
        <v>7</v>
      </c>
      <c r="M65" s="19">
        <f>W!A841</f>
        <v>8</v>
      </c>
      <c r="N65" s="22"/>
    </row>
    <row r="66" spans="2:14" ht="12">
      <c r="B66" s="106"/>
      <c r="C66" s="20" t="s">
        <v>270</v>
      </c>
      <c r="F66" s="41"/>
      <c r="G66" s="41"/>
      <c r="H66" s="41"/>
      <c r="I66" s="41"/>
      <c r="J66" s="41"/>
      <c r="L66" s="41"/>
      <c r="M66" s="41"/>
      <c r="N66" s="22"/>
    </row>
    <row r="67" spans="2:14">
      <c r="B67" s="106"/>
      <c r="C67" s="17" t="s">
        <v>271</v>
      </c>
      <c r="F67" s="41">
        <f>W!A702</f>
        <v>1455376</v>
      </c>
      <c r="G67" s="41">
        <f>W!A722</f>
        <v>1455376</v>
      </c>
      <c r="H67" s="41">
        <f>W!A742</f>
        <v>1455376</v>
      </c>
      <c r="I67" s="41">
        <f>W!A762</f>
        <v>1455376</v>
      </c>
      <c r="J67" s="41">
        <f>W!A782</f>
        <v>1455376</v>
      </c>
      <c r="K67" s="41">
        <f>W!A802</f>
        <v>1455376</v>
      </c>
      <c r="L67" s="41">
        <f>W!A822</f>
        <v>1455376</v>
      </c>
      <c r="M67" s="41">
        <f>W!A842</f>
        <v>1455376</v>
      </c>
      <c r="N67" s="22"/>
    </row>
    <row r="68" spans="2:14">
      <c r="B68" s="106"/>
      <c r="C68" s="17" t="s">
        <v>272</v>
      </c>
      <c r="F68" s="41">
        <f>W!A703</f>
        <v>138767</v>
      </c>
      <c r="G68" s="41">
        <f>W!A723</f>
        <v>138767</v>
      </c>
      <c r="H68" s="41">
        <f>W!A743</f>
        <v>138767</v>
      </c>
      <c r="I68" s="41">
        <f>W!A763</f>
        <v>138767</v>
      </c>
      <c r="J68" s="41">
        <f>W!A783</f>
        <v>138767</v>
      </c>
      <c r="K68" s="41">
        <f>W!A803</f>
        <v>138767</v>
      </c>
      <c r="L68" s="41">
        <f>W!A823</f>
        <v>138767</v>
      </c>
      <c r="M68" s="41">
        <f>W!A843</f>
        <v>138767</v>
      </c>
      <c r="N68" s="22"/>
    </row>
    <row r="69" spans="2:14">
      <c r="B69" s="106"/>
      <c r="C69" s="17" t="s">
        <v>273</v>
      </c>
      <c r="F69" s="41">
        <f>W!A704</f>
        <v>300098</v>
      </c>
      <c r="G69" s="41">
        <f>W!A724</f>
        <v>300098</v>
      </c>
      <c r="H69" s="41">
        <f>W!A744</f>
        <v>300098</v>
      </c>
      <c r="I69" s="41">
        <f>W!A764</f>
        <v>300098</v>
      </c>
      <c r="J69" s="41">
        <f>W!A784</f>
        <v>300098</v>
      </c>
      <c r="K69" s="41">
        <f>W!A804</f>
        <v>300098</v>
      </c>
      <c r="L69" s="41">
        <f>W!A824</f>
        <v>300098</v>
      </c>
      <c r="M69" s="41">
        <f>W!A844</f>
        <v>300098</v>
      </c>
      <c r="N69" s="22"/>
    </row>
    <row r="70" spans="2:14">
      <c r="B70" s="106"/>
      <c r="C70" s="17" t="s">
        <v>274</v>
      </c>
      <c r="F70" s="41">
        <f>W!A705</f>
        <v>1900000</v>
      </c>
      <c r="G70" s="41">
        <f>W!A725</f>
        <v>1900000</v>
      </c>
      <c r="H70" s="41">
        <f>W!A745</f>
        <v>1900000</v>
      </c>
      <c r="I70" s="41">
        <f>W!A765</f>
        <v>1900000</v>
      </c>
      <c r="J70" s="41">
        <f>W!A785</f>
        <v>1900000</v>
      </c>
      <c r="K70" s="41">
        <f>W!A805</f>
        <v>1900000</v>
      </c>
      <c r="L70" s="41">
        <f>W!A825</f>
        <v>1900000</v>
      </c>
      <c r="M70" s="41">
        <f>W!A845</f>
        <v>1900000</v>
      </c>
      <c r="N70" s="22"/>
    </row>
    <row r="71" spans="2:14">
      <c r="B71" s="106"/>
      <c r="F71" s="109"/>
      <c r="G71" s="109"/>
      <c r="H71" s="109"/>
      <c r="I71" s="109"/>
      <c r="J71" s="109"/>
      <c r="K71" s="109"/>
      <c r="L71" s="109"/>
      <c r="M71" s="109"/>
      <c r="N71" s="22"/>
    </row>
    <row r="72" spans="2:14" ht="12">
      <c r="B72" s="106"/>
      <c r="C72" s="20" t="s">
        <v>275</v>
      </c>
      <c r="F72" s="41"/>
      <c r="G72" s="41"/>
      <c r="H72" s="41"/>
      <c r="I72" s="41"/>
      <c r="J72" s="41"/>
      <c r="K72" s="41"/>
      <c r="L72" s="41"/>
      <c r="M72" s="41"/>
      <c r="N72" s="22"/>
    </row>
    <row r="73" spans="2:14">
      <c r="B73" s="106"/>
      <c r="C73" s="17" t="s">
        <v>276</v>
      </c>
      <c r="F73" s="41">
        <f>W!A708</f>
        <v>0</v>
      </c>
      <c r="G73" s="41">
        <f>W!A728</f>
        <v>0</v>
      </c>
      <c r="H73" s="41">
        <f>W!A748</f>
        <v>0</v>
      </c>
      <c r="I73" s="41">
        <f>W!A768</f>
        <v>0</v>
      </c>
      <c r="J73" s="41">
        <f>W!A788</f>
        <v>0</v>
      </c>
      <c r="K73" s="41">
        <f>W!A808</f>
        <v>0</v>
      </c>
      <c r="L73" s="41">
        <f>W!A828</f>
        <v>0</v>
      </c>
      <c r="M73" s="41">
        <f>W!A848</f>
        <v>0</v>
      </c>
      <c r="N73" s="22"/>
    </row>
    <row r="74" spans="2:14">
      <c r="B74" s="106"/>
      <c r="C74" s="104" t="s">
        <v>277</v>
      </c>
      <c r="F74" s="41">
        <f>W!A709</f>
        <v>109679</v>
      </c>
      <c r="G74" s="41">
        <f>W!A729</f>
        <v>109679</v>
      </c>
      <c r="H74" s="41">
        <f>W!A749</f>
        <v>109679</v>
      </c>
      <c r="I74" s="41">
        <f>W!A769</f>
        <v>109679</v>
      </c>
      <c r="J74" s="41">
        <f>W!A789</f>
        <v>109679</v>
      </c>
      <c r="K74" s="41">
        <f>W!A809</f>
        <v>109679</v>
      </c>
      <c r="L74" s="41">
        <f>W!A829</f>
        <v>109679</v>
      </c>
      <c r="M74" s="41">
        <f>W!A849</f>
        <v>109679</v>
      </c>
      <c r="N74" s="22"/>
    </row>
    <row r="75" spans="2:14">
      <c r="B75" s="106"/>
      <c r="C75" s="17" t="s">
        <v>278</v>
      </c>
      <c r="F75" s="41">
        <f>W!A710</f>
        <v>1035760</v>
      </c>
      <c r="G75" s="41">
        <f>W!A730</f>
        <v>1035760</v>
      </c>
      <c r="H75" s="41">
        <f>W!A750</f>
        <v>1035760</v>
      </c>
      <c r="I75" s="41">
        <f>W!A770</f>
        <v>1035760</v>
      </c>
      <c r="J75" s="41">
        <f>W!A790</f>
        <v>1035760</v>
      </c>
      <c r="K75" s="41">
        <f>W!A810</f>
        <v>1035760</v>
      </c>
      <c r="L75" s="41">
        <f>W!A830</f>
        <v>1035760</v>
      </c>
      <c r="M75" s="41">
        <f>W!A850</f>
        <v>1035760</v>
      </c>
      <c r="N75" s="48"/>
    </row>
    <row r="76" spans="2:14" ht="12">
      <c r="B76" s="106"/>
      <c r="C76" s="20"/>
      <c r="F76" s="41"/>
      <c r="G76" s="41"/>
      <c r="H76" s="41"/>
      <c r="I76" s="41"/>
      <c r="J76" s="41"/>
      <c r="K76" s="41"/>
      <c r="L76" s="41"/>
      <c r="M76" s="41"/>
      <c r="N76" s="22"/>
    </row>
    <row r="77" spans="2:14">
      <c r="B77" s="106"/>
      <c r="C77" s="17" t="s">
        <v>279</v>
      </c>
      <c r="F77" s="41">
        <f>W!A712</f>
        <v>0</v>
      </c>
      <c r="G77" s="41">
        <f>W!A732</f>
        <v>0</v>
      </c>
      <c r="H77" s="41">
        <f>W!A752</f>
        <v>0</v>
      </c>
      <c r="I77" s="41">
        <f>W!A772</f>
        <v>0</v>
      </c>
      <c r="J77" s="41">
        <f>W!A792</f>
        <v>0</v>
      </c>
      <c r="K77" s="41">
        <f>W!A812</f>
        <v>0</v>
      </c>
      <c r="L77" s="41">
        <f>W!A832</f>
        <v>0</v>
      </c>
      <c r="M77" s="41">
        <f>W!A852</f>
        <v>0</v>
      </c>
      <c r="N77" s="22"/>
    </row>
    <row r="78" spans="2:14">
      <c r="B78" s="106"/>
      <c r="F78" s="41"/>
      <c r="G78" s="41"/>
      <c r="H78" s="41"/>
      <c r="I78" s="41"/>
      <c r="J78" s="41"/>
      <c r="K78" s="41"/>
      <c r="L78" s="41"/>
      <c r="M78" s="41"/>
      <c r="N78" s="22"/>
    </row>
    <row r="79" spans="2:14" ht="12">
      <c r="B79" s="106"/>
      <c r="C79" s="20" t="s">
        <v>280</v>
      </c>
      <c r="E79" s="65"/>
      <c r="F79" s="109"/>
      <c r="G79" s="109"/>
      <c r="H79" s="109"/>
      <c r="I79" s="109"/>
      <c r="J79" s="109"/>
      <c r="K79" s="109"/>
      <c r="L79" s="109"/>
      <c r="M79" s="109"/>
      <c r="N79" s="22"/>
    </row>
    <row r="80" spans="2:14">
      <c r="B80" s="106"/>
      <c r="C80" s="17" t="s">
        <v>281</v>
      </c>
      <c r="F80" s="41">
        <f>W!A714</f>
        <v>3000000</v>
      </c>
      <c r="G80" s="41">
        <f>W!A734</f>
        <v>3000000</v>
      </c>
      <c r="H80" s="41">
        <f>W!A754</f>
        <v>3000000</v>
      </c>
      <c r="I80" s="41">
        <f>W!A774</f>
        <v>3000000</v>
      </c>
      <c r="J80" s="41">
        <f>W!A794</f>
        <v>3000000</v>
      </c>
      <c r="K80" s="41">
        <f>W!A814</f>
        <v>3000000</v>
      </c>
      <c r="L80" s="41">
        <f>W!A834</f>
        <v>3000000</v>
      </c>
      <c r="M80" s="41">
        <f>W!A854</f>
        <v>3000000</v>
      </c>
      <c r="N80" s="22"/>
    </row>
    <row r="81" spans="2:14">
      <c r="B81" s="106"/>
      <c r="C81" s="17" t="s">
        <v>282</v>
      </c>
      <c r="F81" s="41">
        <f>W!A715</f>
        <v>0</v>
      </c>
      <c r="G81" s="41">
        <f>W!A735</f>
        <v>0</v>
      </c>
      <c r="H81" s="41">
        <f>W!A755</f>
        <v>0</v>
      </c>
      <c r="I81" s="41">
        <f>W!A775</f>
        <v>0</v>
      </c>
      <c r="J81" s="41">
        <f>W!A795</f>
        <v>0</v>
      </c>
      <c r="K81" s="41">
        <f>W!A815</f>
        <v>0</v>
      </c>
      <c r="L81" s="41">
        <f>W!A835</f>
        <v>0</v>
      </c>
      <c r="M81" s="41">
        <f>W!A855</f>
        <v>0</v>
      </c>
      <c r="N81" s="22"/>
    </row>
    <row r="82" spans="2:14">
      <c r="B82" s="106"/>
      <c r="C82" s="17" t="s">
        <v>283</v>
      </c>
      <c r="F82" s="41">
        <f>W!A716</f>
        <v>-351198</v>
      </c>
      <c r="G82" s="41">
        <f>W!A736</f>
        <v>-351198</v>
      </c>
      <c r="H82" s="41">
        <f>W!A756</f>
        <v>-351198</v>
      </c>
      <c r="I82" s="41">
        <f>W!A776</f>
        <v>-351198</v>
      </c>
      <c r="J82" s="41">
        <f>W!A796</f>
        <v>-351198</v>
      </c>
      <c r="K82" s="41">
        <f>W!A816</f>
        <v>-351198</v>
      </c>
      <c r="L82" s="41">
        <f>W!A836</f>
        <v>-351198</v>
      </c>
      <c r="M82" s="41">
        <f>W!A856</f>
        <v>-351198</v>
      </c>
      <c r="N82" s="22"/>
    </row>
    <row r="83" spans="2:14" ht="12">
      <c r="B83" s="106"/>
      <c r="C83" s="20" t="s">
        <v>232</v>
      </c>
      <c r="F83" s="41">
        <f t="shared" ref="F83:M83" si="0">SUM(F80:F82)</f>
        <v>2648802</v>
      </c>
      <c r="G83" s="41">
        <f t="shared" si="0"/>
        <v>2648802</v>
      </c>
      <c r="H83" s="41">
        <f t="shared" si="0"/>
        <v>2648802</v>
      </c>
      <c r="I83" s="41">
        <f t="shared" si="0"/>
        <v>2648802</v>
      </c>
      <c r="J83" s="41">
        <f t="shared" si="0"/>
        <v>2648802</v>
      </c>
      <c r="K83" s="41">
        <f t="shared" si="0"/>
        <v>2648802</v>
      </c>
      <c r="L83" s="41">
        <f t="shared" si="0"/>
        <v>2648802</v>
      </c>
      <c r="M83" s="41">
        <f t="shared" si="0"/>
        <v>2648802</v>
      </c>
      <c r="N83" s="22"/>
    </row>
    <row r="84" spans="2:14">
      <c r="B84" s="107"/>
      <c r="C84" s="59"/>
      <c r="D84" s="59"/>
      <c r="E84" s="59"/>
      <c r="F84" s="59"/>
      <c r="G84" s="59"/>
      <c r="H84" s="59"/>
      <c r="I84" s="72"/>
      <c r="J84" s="59"/>
      <c r="K84" s="59"/>
      <c r="L84" s="59"/>
      <c r="M84" s="59"/>
      <c r="N84" s="68"/>
    </row>
    <row r="87" spans="2:14">
      <c r="B87" s="30"/>
      <c r="C87" s="66"/>
      <c r="D87" s="66"/>
      <c r="E87" s="66"/>
      <c r="F87" s="66"/>
      <c r="G87" s="66"/>
      <c r="H87" s="66"/>
      <c r="I87" s="105"/>
      <c r="J87" s="66"/>
      <c r="K87" s="66"/>
      <c r="L87" s="66"/>
      <c r="M87" s="66"/>
      <c r="N87" s="73"/>
    </row>
    <row r="88" spans="2:14" ht="12">
      <c r="B88" s="106"/>
      <c r="C88" s="20" t="s">
        <v>284</v>
      </c>
      <c r="I88" s="41"/>
      <c r="K88" s="166" t="str">
        <f>W!A330</f>
        <v>Not requested</v>
      </c>
      <c r="N88" s="22"/>
    </row>
    <row r="89" spans="2:14" ht="12">
      <c r="B89" s="106"/>
      <c r="D89" s="17" t="s">
        <v>285</v>
      </c>
      <c r="F89" s="102" t="str">
        <f>W!A331</f>
        <v xml:space="preserve"> </v>
      </c>
      <c r="G89" s="102" t="str">
        <f>W!A341</f>
        <v xml:space="preserve"> </v>
      </c>
      <c r="H89" s="102" t="str">
        <f>W!A351</f>
        <v xml:space="preserve"> </v>
      </c>
      <c r="I89" s="102" t="str">
        <f>W!A361</f>
        <v xml:space="preserve"> </v>
      </c>
      <c r="J89" s="102" t="str">
        <f>W!A371</f>
        <v xml:space="preserve"> </v>
      </c>
      <c r="K89" s="102" t="str">
        <f>W!A381</f>
        <v xml:space="preserve"> </v>
      </c>
      <c r="L89" s="102" t="str">
        <f>W!A391</f>
        <v xml:space="preserve"> </v>
      </c>
      <c r="M89" s="102" t="str">
        <f>W!A401</f>
        <v xml:space="preserve"> </v>
      </c>
      <c r="N89" s="22"/>
    </row>
    <row r="90" spans="2:14" ht="12">
      <c r="B90" s="106"/>
      <c r="C90" s="20" t="s">
        <v>286</v>
      </c>
      <c r="F90" s="65"/>
      <c r="G90" s="65"/>
      <c r="H90" s="65"/>
      <c r="I90" s="36"/>
      <c r="J90" s="65"/>
      <c r="L90" s="65"/>
      <c r="M90" s="65"/>
      <c r="N90" s="22"/>
    </row>
    <row r="91" spans="2:14">
      <c r="B91" s="106"/>
      <c r="C91" s="17" t="s">
        <v>304</v>
      </c>
      <c r="F91" s="58" t="str">
        <f>W!A332</f>
        <v xml:space="preserve"> </v>
      </c>
      <c r="G91" s="58" t="str">
        <f>W!A342</f>
        <v xml:space="preserve"> </v>
      </c>
      <c r="H91" s="58" t="str">
        <f>W!A352</f>
        <v xml:space="preserve"> </v>
      </c>
      <c r="I91" s="58" t="str">
        <f>W!A362</f>
        <v xml:space="preserve"> </v>
      </c>
      <c r="J91" s="58" t="str">
        <f>W!A372</f>
        <v xml:space="preserve"> </v>
      </c>
      <c r="K91" s="58" t="str">
        <f>W!A382</f>
        <v xml:space="preserve"> </v>
      </c>
      <c r="L91" s="58" t="str">
        <f>W!A392</f>
        <v xml:space="preserve"> </v>
      </c>
      <c r="M91" s="58" t="str">
        <f>W!A402</f>
        <v xml:space="preserve"> </v>
      </c>
      <c r="N91" s="22"/>
    </row>
    <row r="92" spans="2:14">
      <c r="B92" s="106"/>
      <c r="C92" s="17" t="s">
        <v>3</v>
      </c>
      <c r="D92" s="26" t="s">
        <v>323</v>
      </c>
      <c r="F92" s="58" t="str">
        <f>W!A333</f>
        <v xml:space="preserve"> </v>
      </c>
      <c r="G92" s="58" t="str">
        <f>W!A343</f>
        <v xml:space="preserve"> </v>
      </c>
      <c r="H92" s="58" t="str">
        <f>W!A353</f>
        <v xml:space="preserve"> </v>
      </c>
      <c r="I92" s="58" t="str">
        <f>W!A363</f>
        <v xml:space="preserve"> </v>
      </c>
      <c r="J92" s="58" t="str">
        <f>W!A373</f>
        <v xml:space="preserve"> </v>
      </c>
      <c r="K92" s="58" t="str">
        <f>W!A383</f>
        <v xml:space="preserve"> </v>
      </c>
      <c r="L92" s="58" t="str">
        <f>W!A393</f>
        <v xml:space="preserve"> </v>
      </c>
      <c r="M92" s="58" t="str">
        <f>W!A403</f>
        <v xml:space="preserve"> </v>
      </c>
      <c r="N92" s="22"/>
    </row>
    <row r="93" spans="2:14">
      <c r="B93" s="106"/>
      <c r="D93" s="17" t="s">
        <v>98</v>
      </c>
      <c r="F93" s="58" t="str">
        <f>W!A334</f>
        <v xml:space="preserve"> </v>
      </c>
      <c r="G93" s="58" t="str">
        <f>W!A344</f>
        <v xml:space="preserve"> </v>
      </c>
      <c r="H93" s="58" t="str">
        <f>W!A354</f>
        <v xml:space="preserve"> </v>
      </c>
      <c r="I93" s="58" t="str">
        <f>W!A364</f>
        <v xml:space="preserve"> </v>
      </c>
      <c r="J93" s="58" t="str">
        <f>W!A374</f>
        <v xml:space="preserve"> </v>
      </c>
      <c r="K93" s="58" t="str">
        <f>W!A384</f>
        <v xml:space="preserve"> </v>
      </c>
      <c r="L93" s="58" t="str">
        <f>W!A394</f>
        <v xml:space="preserve"> </v>
      </c>
      <c r="M93" s="58" t="str">
        <f>W!A404</f>
        <v xml:space="preserve"> </v>
      </c>
      <c r="N93" s="22"/>
    </row>
    <row r="94" spans="2:14">
      <c r="B94" s="106"/>
      <c r="C94" s="17" t="s">
        <v>302</v>
      </c>
      <c r="F94" s="58" t="str">
        <f>W!A335</f>
        <v xml:space="preserve"> </v>
      </c>
      <c r="G94" s="58" t="str">
        <f>W!A345</f>
        <v xml:space="preserve"> </v>
      </c>
      <c r="H94" s="58" t="str">
        <f>W!A355</f>
        <v xml:space="preserve"> </v>
      </c>
      <c r="I94" s="58" t="str">
        <f>W!A365</f>
        <v xml:space="preserve"> </v>
      </c>
      <c r="J94" s="58" t="str">
        <f>W!A375</f>
        <v xml:space="preserve"> </v>
      </c>
      <c r="K94" s="58" t="str">
        <f>W!A385</f>
        <v xml:space="preserve"> </v>
      </c>
      <c r="L94" s="58" t="str">
        <f>W!A395</f>
        <v xml:space="preserve"> </v>
      </c>
      <c r="M94" s="58" t="str">
        <f>W!A405</f>
        <v xml:space="preserve"> </v>
      </c>
      <c r="N94" s="22"/>
    </row>
    <row r="95" spans="2:14">
      <c r="B95" s="106"/>
      <c r="C95" s="17" t="s">
        <v>3</v>
      </c>
      <c r="D95" s="26" t="s">
        <v>323</v>
      </c>
      <c r="F95" s="58" t="str">
        <f>W!A336</f>
        <v xml:space="preserve"> </v>
      </c>
      <c r="G95" s="58" t="str">
        <f>W!A346</f>
        <v xml:space="preserve"> </v>
      </c>
      <c r="H95" s="58" t="str">
        <f>W!A356</f>
        <v xml:space="preserve"> </v>
      </c>
      <c r="I95" s="58" t="str">
        <f>W!A366</f>
        <v xml:space="preserve"> </v>
      </c>
      <c r="J95" s="58" t="str">
        <f>W!A376</f>
        <v xml:space="preserve"> </v>
      </c>
      <c r="K95" s="58" t="str">
        <f>W!A386</f>
        <v xml:space="preserve"> </v>
      </c>
      <c r="L95" s="58" t="str">
        <f>W!A396</f>
        <v xml:space="preserve"> </v>
      </c>
      <c r="M95" s="58" t="str">
        <f>W!A406</f>
        <v xml:space="preserve"> </v>
      </c>
      <c r="N95" s="22"/>
    </row>
    <row r="96" spans="2:14">
      <c r="B96" s="106"/>
      <c r="D96" s="17" t="s">
        <v>98</v>
      </c>
      <c r="F96" s="58" t="str">
        <f>W!A337</f>
        <v xml:space="preserve"> </v>
      </c>
      <c r="G96" s="58" t="str">
        <f>W!A347</f>
        <v xml:space="preserve"> </v>
      </c>
      <c r="H96" s="58" t="str">
        <f>W!A357</f>
        <v xml:space="preserve"> </v>
      </c>
      <c r="I96" s="58" t="str">
        <f>W!A367</f>
        <v xml:space="preserve"> </v>
      </c>
      <c r="J96" s="58" t="str">
        <f>W!A377</f>
        <v xml:space="preserve"> </v>
      </c>
      <c r="K96" s="58" t="str">
        <f>W!A387</f>
        <v xml:space="preserve"> </v>
      </c>
      <c r="L96" s="58" t="str">
        <f>W!A397</f>
        <v xml:space="preserve"> </v>
      </c>
      <c r="M96" s="58" t="str">
        <f>W!A407</f>
        <v xml:space="preserve"> </v>
      </c>
      <c r="N96" s="22"/>
    </row>
    <row r="97" spans="2:14">
      <c r="B97" s="106"/>
      <c r="C97" s="17" t="s">
        <v>303</v>
      </c>
      <c r="F97" s="58" t="str">
        <f>W!A338</f>
        <v xml:space="preserve"> </v>
      </c>
      <c r="G97" s="58" t="str">
        <f>W!A348</f>
        <v xml:space="preserve"> </v>
      </c>
      <c r="H97" s="58" t="str">
        <f>W!A358</f>
        <v xml:space="preserve"> </v>
      </c>
      <c r="I97" s="58" t="str">
        <f>W!A368</f>
        <v xml:space="preserve"> </v>
      </c>
      <c r="J97" s="58" t="str">
        <f>W!A378</f>
        <v xml:space="preserve"> </v>
      </c>
      <c r="K97" s="58" t="str">
        <f>W!A388</f>
        <v xml:space="preserve"> </v>
      </c>
      <c r="L97" s="58" t="str">
        <f>W!A398</f>
        <v xml:space="preserve"> </v>
      </c>
      <c r="M97" s="58" t="str">
        <f>W!A408</f>
        <v xml:space="preserve"> </v>
      </c>
      <c r="N97" s="22"/>
    </row>
    <row r="98" spans="2:14">
      <c r="B98" s="106"/>
      <c r="C98" s="17" t="s">
        <v>3</v>
      </c>
      <c r="D98" s="26" t="s">
        <v>323</v>
      </c>
      <c r="F98" s="58" t="str">
        <f>W!A339</f>
        <v xml:space="preserve"> </v>
      </c>
      <c r="G98" s="58" t="str">
        <f>W!A349</f>
        <v xml:space="preserve"> </v>
      </c>
      <c r="H98" s="58" t="str">
        <f>W!A359</f>
        <v xml:space="preserve"> </v>
      </c>
      <c r="I98" s="58" t="str">
        <f>W!A369</f>
        <v xml:space="preserve"> </v>
      </c>
      <c r="J98" s="58" t="str">
        <f>W!A379</f>
        <v xml:space="preserve"> </v>
      </c>
      <c r="K98" s="58" t="str">
        <f>W!A389</f>
        <v xml:space="preserve"> </v>
      </c>
      <c r="L98" s="58" t="str">
        <f>W!A399</f>
        <v xml:space="preserve"> </v>
      </c>
      <c r="M98" s="58" t="str">
        <f>W!A409</f>
        <v xml:space="preserve"> </v>
      </c>
      <c r="N98" s="22"/>
    </row>
    <row r="99" spans="2:14">
      <c r="B99" s="106"/>
      <c r="D99" s="17" t="s">
        <v>98</v>
      </c>
      <c r="F99" s="58" t="str">
        <f>W!A340</f>
        <v xml:space="preserve"> </v>
      </c>
      <c r="G99" s="58" t="str">
        <f>W!A350</f>
        <v xml:space="preserve"> </v>
      </c>
      <c r="H99" s="58" t="str">
        <f>W!A360</f>
        <v xml:space="preserve"> </v>
      </c>
      <c r="I99" s="58" t="str">
        <f>W!A370</f>
        <v xml:space="preserve"> </v>
      </c>
      <c r="J99" s="58" t="str">
        <f>W!A380</f>
        <v xml:space="preserve"> </v>
      </c>
      <c r="K99" s="58" t="str">
        <f>W!A390</f>
        <v xml:space="preserve"> </v>
      </c>
      <c r="L99" s="58" t="str">
        <f>W!A400</f>
        <v xml:space="preserve"> </v>
      </c>
      <c r="M99" s="58" t="str">
        <f>W!A410</f>
        <v xml:space="preserve"> </v>
      </c>
      <c r="N99" s="22"/>
    </row>
    <row r="100" spans="2:14">
      <c r="B100" s="107"/>
      <c r="C100" s="59"/>
      <c r="D100" s="59"/>
      <c r="E100" s="59"/>
      <c r="F100" s="54"/>
      <c r="G100" s="54"/>
      <c r="H100" s="54"/>
      <c r="I100" s="54"/>
      <c r="J100" s="54"/>
      <c r="K100" s="54"/>
      <c r="L100" s="54"/>
      <c r="M100" s="54"/>
      <c r="N100" s="68"/>
    </row>
    <row r="101" spans="2:14">
      <c r="B101" s="106"/>
      <c r="C101" s="66"/>
      <c r="F101" s="41"/>
      <c r="G101" s="41"/>
      <c r="H101" s="41"/>
      <c r="I101" s="41"/>
      <c r="J101" s="41"/>
      <c r="K101" s="41"/>
      <c r="L101" s="41"/>
      <c r="M101" s="41"/>
      <c r="N101" s="22"/>
    </row>
    <row r="102" spans="2:14" ht="12">
      <c r="B102" s="106"/>
      <c r="C102" s="20" t="s">
        <v>287</v>
      </c>
      <c r="I102" s="41"/>
      <c r="K102" s="36" t="str">
        <f>W!A420</f>
        <v xml:space="preserve"> </v>
      </c>
      <c r="N102" s="22"/>
    </row>
    <row r="103" spans="2:14" ht="12">
      <c r="B103" s="106"/>
      <c r="D103" s="17" t="s">
        <v>288</v>
      </c>
      <c r="F103" s="102">
        <f>W!A421</f>
        <v>1</v>
      </c>
      <c r="G103" s="102">
        <f>W!A428</f>
        <v>2</v>
      </c>
      <c r="H103" s="102">
        <f>W!A435</f>
        <v>3</v>
      </c>
      <c r="I103" s="102">
        <f>W!A442</f>
        <v>4</v>
      </c>
      <c r="J103" s="102">
        <f>W!A449</f>
        <v>5</v>
      </c>
      <c r="K103" s="102">
        <f>W!A456</f>
        <v>6</v>
      </c>
      <c r="L103" s="102">
        <f>W!A463</f>
        <v>7</v>
      </c>
      <c r="M103" s="102">
        <f>W!A470</f>
        <v>8</v>
      </c>
      <c r="N103" s="22"/>
    </row>
    <row r="104" spans="2:14">
      <c r="B104" s="106"/>
      <c r="C104" s="17" t="s">
        <v>316</v>
      </c>
      <c r="F104" s="41">
        <f>W!A422</f>
        <v>45000</v>
      </c>
      <c r="G104" s="41">
        <f>W!A429</f>
        <v>45000</v>
      </c>
      <c r="H104" s="41">
        <f>W!A436</f>
        <v>45000</v>
      </c>
      <c r="I104" s="41">
        <f>W!A443</f>
        <v>45000</v>
      </c>
      <c r="J104" s="41">
        <f>W!A450</f>
        <v>45000</v>
      </c>
      <c r="K104" s="41">
        <f>W!A457</f>
        <v>45000</v>
      </c>
      <c r="L104" s="41">
        <f>W!A464</f>
        <v>45000</v>
      </c>
      <c r="M104" s="41">
        <f>W!A471</f>
        <v>45000</v>
      </c>
      <c r="N104" s="22"/>
    </row>
    <row r="105" spans="2:14">
      <c r="B105" s="106"/>
      <c r="C105" s="17" t="s">
        <v>317</v>
      </c>
      <c r="F105" s="41">
        <f>W!A423</f>
        <v>60000</v>
      </c>
      <c r="G105" s="41">
        <f>W!A430</f>
        <v>60000</v>
      </c>
      <c r="H105" s="41">
        <f>W!A437</f>
        <v>60000</v>
      </c>
      <c r="I105" s="41">
        <f>W!A444</f>
        <v>60000</v>
      </c>
      <c r="J105" s="41">
        <f>W!A451</f>
        <v>60000</v>
      </c>
      <c r="K105" s="41">
        <f>W!A458</f>
        <v>60000</v>
      </c>
      <c r="L105" s="41">
        <f>W!A465</f>
        <v>60000</v>
      </c>
      <c r="M105" s="41">
        <f>W!A472</f>
        <v>60000</v>
      </c>
      <c r="N105" s="22"/>
    </row>
    <row r="106" spans="2:14">
      <c r="B106" s="106"/>
      <c r="C106" s="17" t="s">
        <v>289</v>
      </c>
      <c r="F106" s="36"/>
      <c r="G106" s="36"/>
      <c r="H106" s="36"/>
      <c r="I106" s="36"/>
      <c r="J106" s="36"/>
      <c r="K106" s="36"/>
      <c r="L106" s="36"/>
      <c r="M106" s="36"/>
      <c r="N106" s="22"/>
    </row>
    <row r="107" spans="2:14">
      <c r="B107" s="106"/>
      <c r="C107" s="17" t="s">
        <v>290</v>
      </c>
      <c r="F107" s="103" t="str">
        <f>W!A424</f>
        <v xml:space="preserve">   **</v>
      </c>
      <c r="G107" s="103" t="str">
        <f>W!A431</f>
        <v xml:space="preserve">   **</v>
      </c>
      <c r="H107" s="103" t="str">
        <f>W!A438</f>
        <v xml:space="preserve">   **</v>
      </c>
      <c r="I107" s="103" t="str">
        <f>W!A445</f>
        <v xml:space="preserve">   **</v>
      </c>
      <c r="J107" s="103" t="str">
        <f>W!A452</f>
        <v xml:space="preserve">   **</v>
      </c>
      <c r="K107" s="103" t="str">
        <f>W!A459</f>
        <v xml:space="preserve">   **</v>
      </c>
      <c r="L107" s="103" t="str">
        <f>W!A466</f>
        <v xml:space="preserve">   **</v>
      </c>
      <c r="M107" s="103" t="str">
        <f>W!A473</f>
        <v xml:space="preserve">   **</v>
      </c>
      <c r="N107" s="22"/>
    </row>
    <row r="108" spans="2:14">
      <c r="B108" s="106"/>
      <c r="C108" s="17" t="s">
        <v>291</v>
      </c>
      <c r="F108" s="103" t="str">
        <f>W!A425</f>
        <v xml:space="preserve">   **</v>
      </c>
      <c r="G108" s="103" t="str">
        <f>W!A432</f>
        <v xml:space="preserve">   **</v>
      </c>
      <c r="H108" s="103" t="str">
        <f>W!A439</f>
        <v xml:space="preserve">   **</v>
      </c>
      <c r="I108" s="103" t="str">
        <f>W!A446</f>
        <v xml:space="preserve">   **</v>
      </c>
      <c r="J108" s="103" t="str">
        <f>W!A453</f>
        <v xml:space="preserve">   **</v>
      </c>
      <c r="K108" s="103" t="str">
        <f>W!A460</f>
        <v xml:space="preserve">   **</v>
      </c>
      <c r="L108" s="103" t="str">
        <f>W!A467</f>
        <v xml:space="preserve">   **</v>
      </c>
      <c r="M108" s="103" t="str">
        <f>W!A474</f>
        <v xml:space="preserve">   **</v>
      </c>
      <c r="N108" s="22"/>
    </row>
    <row r="109" spans="2:14">
      <c r="B109" s="106"/>
      <c r="C109" s="17" t="s">
        <v>292</v>
      </c>
      <c r="F109" s="103" t="str">
        <f>W!A426</f>
        <v xml:space="preserve">   **</v>
      </c>
      <c r="G109" s="103" t="str">
        <f>W!A433</f>
        <v xml:space="preserve">   **</v>
      </c>
      <c r="H109" s="103" t="str">
        <f>W!A440</f>
        <v xml:space="preserve">   **</v>
      </c>
      <c r="I109" s="103" t="str">
        <f>W!A447</f>
        <v xml:space="preserve">   **</v>
      </c>
      <c r="J109" s="103" t="str">
        <f>W!A454</f>
        <v xml:space="preserve">   **</v>
      </c>
      <c r="K109" s="103" t="str">
        <f>W!A461</f>
        <v xml:space="preserve">   **</v>
      </c>
      <c r="L109" s="103" t="str">
        <f>W!A468</f>
        <v xml:space="preserve">   **</v>
      </c>
      <c r="M109" s="103" t="str">
        <f>W!A475</f>
        <v xml:space="preserve">   **</v>
      </c>
      <c r="N109" s="22"/>
    </row>
    <row r="110" spans="2:14">
      <c r="B110" s="106"/>
      <c r="C110" s="17" t="s">
        <v>293</v>
      </c>
      <c r="F110" s="103" t="str">
        <f>W!A427</f>
        <v xml:space="preserve"> </v>
      </c>
      <c r="G110" s="103" t="str">
        <f>W!A434</f>
        <v xml:space="preserve"> </v>
      </c>
      <c r="H110" s="103" t="str">
        <f>W!A441</f>
        <v xml:space="preserve"> </v>
      </c>
      <c r="I110" s="103" t="str">
        <f>W!A448</f>
        <v xml:space="preserve"> </v>
      </c>
      <c r="J110" s="103" t="str">
        <f>W!A455</f>
        <v xml:space="preserve"> </v>
      </c>
      <c r="K110" s="103" t="str">
        <f>W!A462</f>
        <v xml:space="preserve"> </v>
      </c>
      <c r="L110" s="103" t="str">
        <f>W!A469</f>
        <v xml:space="preserve"> </v>
      </c>
      <c r="M110" s="103" t="str">
        <f>W!A476</f>
        <v xml:space="preserve"> </v>
      </c>
      <c r="N110" s="22"/>
    </row>
    <row r="111" spans="2:14">
      <c r="B111" s="107"/>
      <c r="C111" s="59"/>
      <c r="D111" s="59"/>
      <c r="E111" s="59"/>
      <c r="F111" s="59"/>
      <c r="G111" s="59"/>
      <c r="H111" s="59"/>
      <c r="I111" s="72"/>
      <c r="J111" s="59"/>
      <c r="K111" s="59"/>
      <c r="L111" s="59"/>
      <c r="M111" s="59"/>
      <c r="N111" s="68"/>
    </row>
    <row r="112" spans="2:14" ht="52.8" customHeight="1">
      <c r="B112" s="173" t="s">
        <v>328</v>
      </c>
      <c r="C112" s="174"/>
      <c r="D112" s="174"/>
      <c r="E112" s="174"/>
      <c r="F112" s="174"/>
      <c r="G112" s="174"/>
      <c r="H112" s="174"/>
      <c r="I112" s="174"/>
      <c r="J112" s="174"/>
      <c r="K112" s="174"/>
      <c r="L112" s="174"/>
      <c r="M112" s="174"/>
      <c r="N112" s="174"/>
    </row>
    <row r="113" spans="8:8" ht="12.75" customHeight="1"/>
    <row r="114" spans="8:8">
      <c r="H114" s="110"/>
    </row>
  </sheetData>
  <mergeCells count="2">
    <mergeCell ref="B57:N57"/>
    <mergeCell ref="B112:N112"/>
  </mergeCells>
  <phoneticPr fontId="14" type="noConversion"/>
  <pageMargins left="0.35416666666666669" right="0.15763888888888888" top="0.59027777777777779" bottom="0.39374999999999999" header="0.51180555555555562" footer="0.51180555555555562"/>
  <pageSetup firstPageNumber="0" orientation="portrait" horizontalDpi="300" verticalDpi="3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861"/>
  <sheetViews>
    <sheetView showGridLines="0" topLeftCell="A668" workbookViewId="0">
      <selection activeCell="A699" sqref="A699"/>
    </sheetView>
  </sheetViews>
  <sheetFormatPr defaultRowHeight="13.2"/>
  <cols>
    <col min="1" max="1" width="63" customWidth="1"/>
    <col min="2" max="2" width="2.88671875" customWidth="1"/>
    <col min="4" max="4" width="1.6640625" bestFit="1" customWidth="1"/>
    <col min="6" max="6" width="1.6640625" bestFit="1" customWidth="1"/>
    <col min="8" max="8" width="1.6640625" bestFit="1" customWidth="1"/>
    <col min="10" max="10" width="1.6640625" bestFit="1" customWidth="1"/>
    <col min="12" max="12" width="1.6640625" bestFit="1" customWidth="1"/>
    <col min="14" max="14" width="1.6640625" bestFit="1" customWidth="1"/>
    <col min="16" max="16" width="1.6640625" bestFit="1" customWidth="1"/>
    <col min="18" max="18" width="1.6640625" bestFit="1" customWidth="1"/>
    <col min="20" max="20" width="1.6640625" bestFit="1" customWidth="1"/>
  </cols>
  <sheetData>
    <row r="1" spans="1:1">
      <c r="A1">
        <v>0</v>
      </c>
    </row>
    <row r="2" spans="1:1">
      <c r="A2">
        <v>0</v>
      </c>
    </row>
    <row r="3" spans="1:1">
      <c r="A3">
        <v>999</v>
      </c>
    </row>
    <row r="4" spans="1:1">
      <c r="A4">
        <v>2025</v>
      </c>
    </row>
    <row r="5" spans="1:1">
      <c r="A5">
        <v>2</v>
      </c>
    </row>
    <row r="6" spans="1:1">
      <c r="A6" t="s">
        <v>329</v>
      </c>
    </row>
    <row r="7" spans="1:1">
      <c r="A7">
        <v>15</v>
      </c>
    </row>
    <row r="8" spans="1:1">
      <c r="A8">
        <v>0</v>
      </c>
    </row>
    <row r="9" spans="1:1">
      <c r="A9">
        <v>0</v>
      </c>
    </row>
    <row r="10" spans="1:1">
      <c r="A10">
        <v>0</v>
      </c>
    </row>
    <row r="11" spans="1:1">
      <c r="A11">
        <v>10</v>
      </c>
    </row>
    <row r="12" spans="1:1">
      <c r="A12">
        <v>0</v>
      </c>
    </row>
    <row r="13" spans="1:1">
      <c r="A13">
        <v>0</v>
      </c>
    </row>
    <row r="14" spans="1:1">
      <c r="A14">
        <v>10</v>
      </c>
    </row>
    <row r="15" spans="1:1">
      <c r="A15">
        <v>0</v>
      </c>
    </row>
    <row r="16" spans="1:1">
      <c r="A16">
        <v>0</v>
      </c>
    </row>
    <row r="17" spans="1:1">
      <c r="A17">
        <v>10</v>
      </c>
    </row>
    <row r="18" spans="1:1">
      <c r="A18">
        <v>0</v>
      </c>
    </row>
    <row r="19" spans="1:1">
      <c r="A19">
        <v>0</v>
      </c>
    </row>
    <row r="20" spans="1:1">
      <c r="A20">
        <v>0</v>
      </c>
    </row>
    <row r="21" spans="1:1">
      <c r="A21">
        <v>285</v>
      </c>
    </row>
    <row r="22" spans="1:1">
      <c r="A22">
        <v>0</v>
      </c>
    </row>
    <row r="23" spans="1:1">
      <c r="A23">
        <v>0</v>
      </c>
    </row>
    <row r="24" spans="1:1">
      <c r="A24">
        <v>450</v>
      </c>
    </row>
    <row r="25" spans="1:1">
      <c r="A25">
        <v>0</v>
      </c>
    </row>
    <row r="26" spans="1:1">
      <c r="A26">
        <v>0</v>
      </c>
    </row>
    <row r="27" spans="1:1">
      <c r="A27">
        <v>680</v>
      </c>
    </row>
    <row r="28" spans="1:1">
      <c r="A28">
        <v>0</v>
      </c>
    </row>
    <row r="29" spans="1:1">
      <c r="A29">
        <v>0</v>
      </c>
    </row>
    <row r="30" spans="1:1">
      <c r="A30">
        <v>0</v>
      </c>
    </row>
    <row r="31" spans="1:1">
      <c r="A31">
        <v>750</v>
      </c>
    </row>
    <row r="32" spans="1:1">
      <c r="A32">
        <v>0</v>
      </c>
    </row>
    <row r="33" spans="1:1">
      <c r="A33">
        <v>0</v>
      </c>
    </row>
    <row r="34" spans="1:1">
      <c r="A34">
        <v>500</v>
      </c>
    </row>
    <row r="35" spans="1:1">
      <c r="A35">
        <v>0</v>
      </c>
    </row>
    <row r="36" spans="1:1">
      <c r="A36">
        <v>0</v>
      </c>
    </row>
    <row r="37" spans="1:1">
      <c r="A37">
        <v>335</v>
      </c>
    </row>
    <row r="38" spans="1:1">
      <c r="A38">
        <v>0</v>
      </c>
    </row>
    <row r="39" spans="1:1">
      <c r="A39">
        <v>0</v>
      </c>
    </row>
    <row r="40" spans="1:1">
      <c r="A40">
        <v>0</v>
      </c>
    </row>
    <row r="41" spans="1:1">
      <c r="A41">
        <v>0</v>
      </c>
    </row>
    <row r="42" spans="1:1">
      <c r="A42">
        <v>0</v>
      </c>
    </row>
    <row r="43" spans="1:1">
      <c r="A43">
        <v>0</v>
      </c>
    </row>
    <row r="44" spans="1:1">
      <c r="A44">
        <v>25</v>
      </c>
    </row>
    <row r="45" spans="1:1">
      <c r="A45">
        <v>20</v>
      </c>
    </row>
    <row r="46" spans="1:1">
      <c r="A46">
        <v>15</v>
      </c>
    </row>
    <row r="47" spans="1:1">
      <c r="A47">
        <v>115</v>
      </c>
    </row>
    <row r="48" spans="1:1">
      <c r="A48">
        <v>165</v>
      </c>
    </row>
    <row r="49" spans="1:1">
      <c r="A49">
        <v>325</v>
      </c>
    </row>
    <row r="50" spans="1:1">
      <c r="A50">
        <v>0</v>
      </c>
    </row>
    <row r="51" spans="1:1">
      <c r="A51">
        <v>0</v>
      </c>
    </row>
    <row r="52" spans="1:1">
      <c r="A52">
        <v>0</v>
      </c>
    </row>
    <row r="53" spans="1:1">
      <c r="A53">
        <v>0</v>
      </c>
    </row>
    <row r="54" spans="1:1">
      <c r="A54">
        <v>0</v>
      </c>
    </row>
    <row r="55" spans="1:1">
      <c r="A55">
        <v>0</v>
      </c>
    </row>
    <row r="56" spans="1:1">
      <c r="A56">
        <v>0</v>
      </c>
    </row>
    <row r="57" spans="1:1">
      <c r="A57">
        <v>0</v>
      </c>
    </row>
    <row r="58" spans="1:1">
      <c r="A58">
        <v>2</v>
      </c>
    </row>
    <row r="59" spans="1:1">
      <c r="A59">
        <v>0</v>
      </c>
    </row>
    <row r="60" spans="1:1">
      <c r="A60">
        <v>0</v>
      </c>
    </row>
    <row r="61" spans="1:1">
      <c r="A61">
        <v>3</v>
      </c>
    </row>
    <row r="62" spans="1:1">
      <c r="A62">
        <v>9</v>
      </c>
    </row>
    <row r="63" spans="1:1">
      <c r="A63">
        <v>7</v>
      </c>
    </row>
    <row r="64" spans="1:1">
      <c r="A64">
        <v>0</v>
      </c>
    </row>
    <row r="65" spans="1:2">
      <c r="A65">
        <v>0</v>
      </c>
      <c r="B65" t="s">
        <v>330</v>
      </c>
    </row>
    <row r="66" spans="1:2">
      <c r="A66">
        <v>0</v>
      </c>
    </row>
    <row r="67" spans="1:2">
      <c r="A67">
        <v>0</v>
      </c>
    </row>
    <row r="68" spans="1:2">
      <c r="A68">
        <v>0</v>
      </c>
      <c r="B68" t="s">
        <v>330</v>
      </c>
    </row>
    <row r="69" spans="1:2">
      <c r="A69">
        <v>0</v>
      </c>
    </row>
    <row r="70" spans="1:2">
      <c r="A70">
        <v>0</v>
      </c>
    </row>
    <row r="71" spans="1:2">
      <c r="A71">
        <v>0</v>
      </c>
    </row>
    <row r="72" spans="1:2">
      <c r="A72">
        <v>0</v>
      </c>
    </row>
    <row r="73" spans="1:2">
      <c r="A73">
        <v>2</v>
      </c>
    </row>
    <row r="74" spans="1:2">
      <c r="A74">
        <v>0</v>
      </c>
    </row>
    <row r="75" spans="1:2">
      <c r="A75">
        <v>15</v>
      </c>
    </row>
    <row r="76" spans="1:2">
      <c r="A76">
        <v>2</v>
      </c>
    </row>
    <row r="77" spans="1:2">
      <c r="A77">
        <v>0</v>
      </c>
    </row>
    <row r="78" spans="1:2">
      <c r="A78">
        <v>0</v>
      </c>
    </row>
    <row r="79" spans="1:2">
      <c r="A79">
        <v>0</v>
      </c>
    </row>
    <row r="80" spans="1:2">
      <c r="A80">
        <v>0</v>
      </c>
    </row>
    <row r="81" spans="1:1">
      <c r="A81">
        <v>0</v>
      </c>
    </row>
    <row r="82" spans="1:1">
      <c r="A82">
        <v>3</v>
      </c>
    </row>
    <row r="83" spans="1:1">
      <c r="A83">
        <v>1000</v>
      </c>
    </row>
    <row r="84" spans="1:1">
      <c r="A84">
        <v>0</v>
      </c>
    </row>
    <row r="85" spans="1:1">
      <c r="A85">
        <v>60</v>
      </c>
    </row>
    <row r="86" spans="1:1">
      <c r="A86">
        <v>2</v>
      </c>
    </row>
    <row r="87" spans="1:1">
      <c r="A87">
        <v>0</v>
      </c>
    </row>
    <row r="88" spans="1:1">
      <c r="A88">
        <v>0</v>
      </c>
    </row>
    <row r="89" spans="1:1">
      <c r="A89">
        <v>0</v>
      </c>
    </row>
    <row r="90" spans="1:1">
      <c r="A90">
        <v>0</v>
      </c>
    </row>
    <row r="91" spans="1:1">
      <c r="A91">
        <v>0</v>
      </c>
    </row>
    <row r="92" spans="1:1">
      <c r="A92">
        <v>0</v>
      </c>
    </row>
    <row r="93" spans="1:1">
      <c r="A93">
        <v>0</v>
      </c>
    </row>
    <row r="94" spans="1:1">
      <c r="A94">
        <v>-500</v>
      </c>
    </row>
    <row r="95" spans="1:1">
      <c r="A95">
        <v>0</v>
      </c>
    </row>
    <row r="96" spans="1:1">
      <c r="A96">
        <v>0</v>
      </c>
    </row>
    <row r="97" spans="1:1">
      <c r="A97">
        <v>0</v>
      </c>
    </row>
    <row r="98" spans="1:1">
      <c r="A98">
        <v>1</v>
      </c>
    </row>
    <row r="99" spans="1:1">
      <c r="A99">
        <v>1</v>
      </c>
    </row>
    <row r="100" spans="1:1">
      <c r="A100">
        <v>999</v>
      </c>
    </row>
    <row r="101" spans="1:1">
      <c r="A101">
        <v>999</v>
      </c>
    </row>
    <row r="102" spans="1:1">
      <c r="A102">
        <v>96</v>
      </c>
    </row>
    <row r="103" spans="1:1">
      <c r="A103">
        <v>90</v>
      </c>
    </row>
    <row r="104" spans="1:1">
      <c r="A104">
        <v>90</v>
      </c>
    </row>
    <row r="105" spans="1:1">
      <c r="A105" t="s">
        <v>334</v>
      </c>
    </row>
    <row r="106" spans="1:1">
      <c r="A106" t="s">
        <v>335</v>
      </c>
    </row>
    <row r="107" spans="1:1">
      <c r="A107" t="s">
        <v>335</v>
      </c>
    </row>
    <row r="108" spans="1:1">
      <c r="A108">
        <v>750</v>
      </c>
    </row>
    <row r="109" spans="1:1">
      <c r="A109">
        <v>500</v>
      </c>
    </row>
    <row r="110" spans="1:1">
      <c r="A110">
        <v>335</v>
      </c>
    </row>
    <row r="111" spans="1:1">
      <c r="A111">
        <v>768</v>
      </c>
    </row>
    <row r="112" spans="1:1">
      <c r="A112">
        <v>512</v>
      </c>
    </row>
    <row r="113" spans="1:1">
      <c r="A113">
        <v>343</v>
      </c>
    </row>
    <row r="114" spans="1:1">
      <c r="A114">
        <v>18</v>
      </c>
    </row>
    <row r="115" spans="1:1">
      <c r="A115">
        <v>12</v>
      </c>
    </row>
    <row r="116" spans="1:1">
      <c r="A116">
        <v>8</v>
      </c>
    </row>
    <row r="117" spans="1:1">
      <c r="A117">
        <v>0</v>
      </c>
    </row>
    <row r="118" spans="1:1">
      <c r="A118">
        <v>0</v>
      </c>
    </row>
    <row r="119" spans="1:1">
      <c r="A119">
        <v>0</v>
      </c>
    </row>
    <row r="120" spans="1:1">
      <c r="A120">
        <v>999</v>
      </c>
    </row>
    <row r="121" spans="1:1">
      <c r="A121">
        <v>750</v>
      </c>
    </row>
    <row r="122" spans="1:1">
      <c r="A122">
        <v>0</v>
      </c>
    </row>
    <row r="123" spans="1:1">
      <c r="A123">
        <v>0</v>
      </c>
    </row>
    <row r="124" spans="1:1">
      <c r="A124">
        <v>500</v>
      </c>
    </row>
    <row r="125" spans="1:1">
      <c r="A125">
        <v>0</v>
      </c>
    </row>
    <row r="126" spans="1:1">
      <c r="A126">
        <v>0</v>
      </c>
    </row>
    <row r="127" spans="1:1">
      <c r="A127">
        <v>335</v>
      </c>
    </row>
    <row r="128" spans="1:1">
      <c r="A128">
        <v>0</v>
      </c>
    </row>
    <row r="129" spans="1:1">
      <c r="A129">
        <v>0</v>
      </c>
    </row>
    <row r="130" spans="1:1">
      <c r="A130">
        <v>999</v>
      </c>
    </row>
    <row r="131" spans="1:1">
      <c r="A131">
        <v>594</v>
      </c>
    </row>
    <row r="132" spans="1:1">
      <c r="A132">
        <v>0</v>
      </c>
    </row>
    <row r="133" spans="1:1">
      <c r="A133">
        <v>0</v>
      </c>
    </row>
    <row r="134" spans="1:1">
      <c r="A134">
        <v>375</v>
      </c>
    </row>
    <row r="135" spans="1:1">
      <c r="A135">
        <v>0</v>
      </c>
    </row>
    <row r="136" spans="1:1">
      <c r="A136">
        <v>0</v>
      </c>
    </row>
    <row r="137" spans="1:1">
      <c r="A137">
        <v>210</v>
      </c>
    </row>
    <row r="138" spans="1:1">
      <c r="A138">
        <v>0</v>
      </c>
    </row>
    <row r="139" spans="1:1">
      <c r="A139">
        <v>0</v>
      </c>
    </row>
    <row r="140" spans="1:1">
      <c r="A140">
        <v>999</v>
      </c>
    </row>
    <row r="141" spans="1:1">
      <c r="A141">
        <v>594</v>
      </c>
    </row>
    <row r="142" spans="1:1">
      <c r="A142">
        <v>0</v>
      </c>
    </row>
    <row r="143" spans="1:1">
      <c r="A143">
        <v>0</v>
      </c>
    </row>
    <row r="144" spans="1:1">
      <c r="A144">
        <v>375</v>
      </c>
    </row>
    <row r="145" spans="1:1">
      <c r="A145">
        <v>0</v>
      </c>
    </row>
    <row r="146" spans="1:1">
      <c r="A146">
        <v>0</v>
      </c>
    </row>
    <row r="147" spans="1:1">
      <c r="A147">
        <v>210</v>
      </c>
    </row>
    <row r="148" spans="1:1">
      <c r="A148">
        <v>0</v>
      </c>
    </row>
    <row r="149" spans="1:1">
      <c r="A149">
        <v>0</v>
      </c>
    </row>
    <row r="150" spans="1:1">
      <c r="A150">
        <v>999</v>
      </c>
    </row>
    <row r="151" spans="1:1">
      <c r="A151">
        <v>0</v>
      </c>
    </row>
    <row r="152" spans="1:1">
      <c r="A152">
        <v>0</v>
      </c>
    </row>
    <row r="153" spans="1:1">
      <c r="A153">
        <v>0</v>
      </c>
    </row>
    <row r="154" spans="1:1">
      <c r="A154">
        <v>0</v>
      </c>
    </row>
    <row r="155" spans="1:1">
      <c r="A155">
        <v>0</v>
      </c>
    </row>
    <row r="156" spans="1:1">
      <c r="A156">
        <v>0</v>
      </c>
    </row>
    <row r="157" spans="1:1">
      <c r="A157">
        <v>0</v>
      </c>
    </row>
    <row r="158" spans="1:1">
      <c r="A158">
        <v>0</v>
      </c>
    </row>
    <row r="159" spans="1:1">
      <c r="A159">
        <v>0</v>
      </c>
    </row>
    <row r="160" spans="1:1">
      <c r="A160">
        <v>999</v>
      </c>
    </row>
    <row r="161" spans="1:1">
      <c r="A161">
        <v>156</v>
      </c>
    </row>
    <row r="162" spans="1:1">
      <c r="A162">
        <v>0</v>
      </c>
    </row>
    <row r="163" spans="1:1">
      <c r="A163">
        <v>0</v>
      </c>
    </row>
    <row r="164" spans="1:1">
      <c r="A164">
        <v>125</v>
      </c>
    </row>
    <row r="165" spans="1:1">
      <c r="A165">
        <v>0</v>
      </c>
    </row>
    <row r="166" spans="1:1">
      <c r="A166">
        <v>0</v>
      </c>
    </row>
    <row r="167" spans="1:1">
      <c r="A167">
        <v>125</v>
      </c>
    </row>
    <row r="168" spans="1:1">
      <c r="A168">
        <v>0</v>
      </c>
    </row>
    <row r="169" spans="1:1">
      <c r="A169">
        <v>0</v>
      </c>
    </row>
    <row r="170" spans="1:1">
      <c r="A170">
        <v>999</v>
      </c>
    </row>
    <row r="171" spans="1:1">
      <c r="A171">
        <v>0</v>
      </c>
    </row>
    <row r="172" spans="1:1">
      <c r="A172">
        <v>0</v>
      </c>
    </row>
    <row r="173" spans="1:1">
      <c r="A173">
        <v>0</v>
      </c>
    </row>
    <row r="174" spans="1:1">
      <c r="A174">
        <v>999</v>
      </c>
    </row>
    <row r="175" spans="1:1">
      <c r="A175">
        <v>999</v>
      </c>
    </row>
    <row r="176" spans="1:1">
      <c r="A176">
        <v>999</v>
      </c>
    </row>
    <row r="177" spans="1:1">
      <c r="A177" t="s">
        <v>336</v>
      </c>
    </row>
    <row r="178" spans="1:1">
      <c r="A178" t="s">
        <v>331</v>
      </c>
    </row>
    <row r="179" spans="1:1">
      <c r="A179" t="s">
        <v>331</v>
      </c>
    </row>
    <row r="180" spans="1:1">
      <c r="A180">
        <v>999</v>
      </c>
    </row>
    <row r="181" spans="1:1">
      <c r="A181">
        <v>0</v>
      </c>
    </row>
    <row r="182" spans="1:1">
      <c r="A182">
        <v>0</v>
      </c>
    </row>
    <row r="183" spans="1:1">
      <c r="A183">
        <v>0</v>
      </c>
    </row>
    <row r="184" spans="1:1">
      <c r="A184">
        <v>0</v>
      </c>
    </row>
    <row r="185" spans="1:1">
      <c r="A185">
        <v>0</v>
      </c>
    </row>
    <row r="186" spans="1:1">
      <c r="A186">
        <v>0</v>
      </c>
    </row>
    <row r="187" spans="1:1">
      <c r="A187">
        <v>0</v>
      </c>
    </row>
    <row r="188" spans="1:1">
      <c r="A188">
        <v>0</v>
      </c>
    </row>
    <row r="189" spans="1:1">
      <c r="A189">
        <v>0</v>
      </c>
    </row>
    <row r="190" spans="1:1">
      <c r="A190">
        <v>999</v>
      </c>
    </row>
    <row r="191" spans="1:1">
      <c r="A191">
        <v>11</v>
      </c>
    </row>
    <row r="192" spans="1:1">
      <c r="A192">
        <v>0</v>
      </c>
    </row>
    <row r="193" spans="1:1">
      <c r="A193">
        <v>0</v>
      </c>
    </row>
    <row r="194" spans="1:1">
      <c r="A194">
        <v>16</v>
      </c>
    </row>
    <row r="195" spans="1:1">
      <c r="A195">
        <v>0</v>
      </c>
    </row>
    <row r="196" spans="1:1">
      <c r="A196">
        <v>0</v>
      </c>
    </row>
    <row r="197" spans="1:1">
      <c r="A197">
        <v>14</v>
      </c>
    </row>
    <row r="198" spans="1:1">
      <c r="A198">
        <v>15</v>
      </c>
    </row>
    <row r="199" spans="1:1">
      <c r="A199">
        <v>999</v>
      </c>
    </row>
    <row r="200" spans="1:1">
      <c r="A200">
        <v>999</v>
      </c>
    </row>
    <row r="201" spans="1:1">
      <c r="A201">
        <v>45000</v>
      </c>
    </row>
    <row r="202" spans="1:1">
      <c r="A202">
        <v>0</v>
      </c>
    </row>
    <row r="203" spans="1:1">
      <c r="A203">
        <v>0</v>
      </c>
    </row>
    <row r="204" spans="1:1">
      <c r="A204">
        <v>59158</v>
      </c>
    </row>
    <row r="205" spans="1:1">
      <c r="A205">
        <v>4834</v>
      </c>
    </row>
    <row r="206" spans="1:1">
      <c r="A206">
        <v>0</v>
      </c>
    </row>
    <row r="207" spans="1:1">
      <c r="A207">
        <v>60000</v>
      </c>
    </row>
    <row r="208" spans="1:1">
      <c r="A208">
        <v>0</v>
      </c>
    </row>
    <row r="209" spans="1:1">
      <c r="A209">
        <v>43500</v>
      </c>
    </row>
    <row r="210" spans="1:1">
      <c r="A210">
        <v>2550</v>
      </c>
    </row>
    <row r="211" spans="1:1">
      <c r="A211">
        <v>8207</v>
      </c>
    </row>
    <row r="212" spans="1:1">
      <c r="A212">
        <v>7500</v>
      </c>
    </row>
    <row r="213" spans="1:1">
      <c r="A213">
        <v>1179</v>
      </c>
    </row>
    <row r="214" spans="1:1">
      <c r="A214">
        <v>5879</v>
      </c>
    </row>
    <row r="215" spans="1:1">
      <c r="A215">
        <v>60000</v>
      </c>
    </row>
    <row r="216" spans="1:1">
      <c r="A216">
        <v>10552</v>
      </c>
    </row>
    <row r="217" spans="1:1">
      <c r="A217">
        <v>308359</v>
      </c>
    </row>
    <row r="218" spans="1:1">
      <c r="A218">
        <v>183382</v>
      </c>
    </row>
    <row r="219" spans="1:1">
      <c r="A219">
        <v>0</v>
      </c>
    </row>
    <row r="220" spans="1:1">
      <c r="A220">
        <v>979</v>
      </c>
    </row>
    <row r="221" spans="1:1">
      <c r="A221">
        <v>183382</v>
      </c>
    </row>
    <row r="222" spans="1:1">
      <c r="A222">
        <v>0</v>
      </c>
    </row>
    <row r="223" spans="1:1">
      <c r="A223">
        <v>561735</v>
      </c>
    </row>
    <row r="224" spans="1:1">
      <c r="A224">
        <v>0</v>
      </c>
    </row>
    <row r="225" spans="1:1">
      <c r="A225">
        <v>11875</v>
      </c>
    </row>
    <row r="226" spans="1:1">
      <c r="A226">
        <v>0</v>
      </c>
    </row>
    <row r="227" spans="1:1">
      <c r="A227">
        <v>600000</v>
      </c>
    </row>
    <row r="228" spans="1:1">
      <c r="A228">
        <v>0</v>
      </c>
    </row>
    <row r="229" spans="1:1">
      <c r="A229">
        <v>0</v>
      </c>
    </row>
    <row r="230" spans="1:1">
      <c r="A230">
        <v>0</v>
      </c>
    </row>
    <row r="231" spans="1:1">
      <c r="A231">
        <v>0</v>
      </c>
    </row>
    <row r="232" spans="1:1">
      <c r="A232">
        <v>16545</v>
      </c>
    </row>
    <row r="233" spans="1:1">
      <c r="A233">
        <v>-983023</v>
      </c>
    </row>
    <row r="234" spans="1:1">
      <c r="A234">
        <v>1847263</v>
      </c>
    </row>
    <row r="235" spans="1:1">
      <c r="A235">
        <v>999</v>
      </c>
    </row>
    <row r="236" spans="1:1">
      <c r="A236">
        <v>999</v>
      </c>
    </row>
    <row r="237" spans="1:1">
      <c r="A237">
        <v>999</v>
      </c>
    </row>
    <row r="238" spans="1:1">
      <c r="A238">
        <v>380000</v>
      </c>
    </row>
    <row r="239" spans="1:1">
      <c r="A239">
        <v>1025000</v>
      </c>
    </row>
    <row r="240" spans="1:1">
      <c r="A240">
        <v>-247640</v>
      </c>
    </row>
    <row r="241" spans="1:1">
      <c r="A241">
        <v>483480</v>
      </c>
    </row>
    <row r="242" spans="1:1">
      <c r="A242">
        <v>94909</v>
      </c>
    </row>
    <row r="243" spans="1:1">
      <c r="A243">
        <v>0</v>
      </c>
    </row>
    <row r="244" spans="1:1">
      <c r="A244">
        <v>71444</v>
      </c>
    </row>
    <row r="245" spans="1:1">
      <c r="A245">
        <v>50489</v>
      </c>
    </row>
    <row r="246" spans="1:1">
      <c r="A246">
        <v>86807</v>
      </c>
    </row>
    <row r="247" spans="1:1">
      <c r="A247">
        <v>59680</v>
      </c>
    </row>
    <row r="248" spans="1:1">
      <c r="A248">
        <v>1623</v>
      </c>
    </row>
    <row r="249" spans="1:1">
      <c r="A249">
        <v>18200</v>
      </c>
    </row>
    <row r="250" spans="1:1">
      <c r="A250">
        <v>138767</v>
      </c>
    </row>
    <row r="251" spans="1:1">
      <c r="A251">
        <v>244385</v>
      </c>
    </row>
    <row r="252" spans="1:1">
      <c r="A252">
        <v>239095</v>
      </c>
    </row>
    <row r="253" spans="1:1">
      <c r="A253">
        <v>0</v>
      </c>
    </row>
    <row r="254" spans="1:1">
      <c r="A254">
        <v>29624</v>
      </c>
    </row>
    <row r="255" spans="1:1">
      <c r="A255">
        <v>0</v>
      </c>
    </row>
    <row r="256" spans="1:1">
      <c r="A256">
        <v>-103558</v>
      </c>
    </row>
    <row r="257" spans="1:1">
      <c r="A257">
        <v>-351198</v>
      </c>
    </row>
    <row r="258" spans="1:1">
      <c r="A258">
        <v>999</v>
      </c>
    </row>
    <row r="259" spans="1:1">
      <c r="A259">
        <v>999</v>
      </c>
    </row>
    <row r="260" spans="1:1">
      <c r="A260">
        <v>-247640</v>
      </c>
    </row>
    <row r="261" spans="1:1">
      <c r="A261">
        <v>50000</v>
      </c>
    </row>
    <row r="262" spans="1:1">
      <c r="A262">
        <v>250000</v>
      </c>
    </row>
    <row r="263" spans="1:1">
      <c r="A263">
        <v>1155376</v>
      </c>
    </row>
    <row r="264" spans="1:1">
      <c r="A264">
        <v>0</v>
      </c>
    </row>
    <row r="265" spans="1:1">
      <c r="A265">
        <v>67194</v>
      </c>
    </row>
    <row r="266" spans="1:1">
      <c r="A266">
        <v>0</v>
      </c>
    </row>
    <row r="267" spans="1:1">
      <c r="A267">
        <v>71573</v>
      </c>
    </row>
    <row r="268" spans="1:1">
      <c r="A268">
        <v>300098</v>
      </c>
    </row>
    <row r="269" spans="1:1">
      <c r="A269">
        <v>1900000</v>
      </c>
    </row>
    <row r="270" spans="1:1">
      <c r="A270">
        <v>1900000</v>
      </c>
    </row>
    <row r="271" spans="1:1">
      <c r="A271">
        <v>0</v>
      </c>
    </row>
    <row r="272" spans="1:1">
      <c r="A272">
        <v>109679</v>
      </c>
    </row>
    <row r="273" spans="1:1">
      <c r="A273">
        <v>1035760</v>
      </c>
    </row>
    <row r="274" spans="1:1">
      <c r="A274">
        <v>0</v>
      </c>
    </row>
    <row r="275" spans="1:1">
      <c r="A275">
        <v>3000000</v>
      </c>
    </row>
    <row r="276" spans="1:1">
      <c r="A276">
        <v>0</v>
      </c>
    </row>
    <row r="277" spans="1:1">
      <c r="A277">
        <v>2648802</v>
      </c>
    </row>
    <row r="278" spans="1:1">
      <c r="A278">
        <v>999</v>
      </c>
    </row>
    <row r="279" spans="1:1">
      <c r="A279">
        <v>999</v>
      </c>
    </row>
    <row r="280" spans="1:1">
      <c r="A280">
        <v>999</v>
      </c>
    </row>
    <row r="281" spans="1:1">
      <c r="A281">
        <v>1000</v>
      </c>
    </row>
    <row r="282" spans="1:1">
      <c r="A282">
        <v>999</v>
      </c>
    </row>
    <row r="283" spans="1:1">
      <c r="A283">
        <v>999</v>
      </c>
    </row>
    <row r="284" spans="1:1">
      <c r="A284">
        <v>500</v>
      </c>
    </row>
    <row r="285" spans="1:1">
      <c r="A285">
        <v>100</v>
      </c>
    </row>
    <row r="286" spans="1:1">
      <c r="A286">
        <v>140</v>
      </c>
    </row>
    <row r="287" spans="1:1">
      <c r="A287">
        <v>0</v>
      </c>
    </row>
    <row r="288" spans="1:1">
      <c r="A288">
        <v>999</v>
      </c>
    </row>
    <row r="289" spans="1:1">
      <c r="A289">
        <v>999</v>
      </c>
    </row>
    <row r="290" spans="1:1">
      <c r="A290">
        <v>999</v>
      </c>
    </row>
    <row r="291" spans="1:1">
      <c r="A291">
        <v>0</v>
      </c>
    </row>
    <row r="292" spans="1:1">
      <c r="A292">
        <v>2</v>
      </c>
    </row>
    <row r="293" spans="1:1">
      <c r="A293">
        <v>2</v>
      </c>
    </row>
    <row r="294" spans="1:1">
      <c r="A294">
        <v>4</v>
      </c>
    </row>
    <row r="295" spans="1:1">
      <c r="A295">
        <v>1434</v>
      </c>
    </row>
    <row r="296" spans="1:1">
      <c r="A296">
        <v>7</v>
      </c>
    </row>
    <row r="297" spans="1:1">
      <c r="A297">
        <v>0</v>
      </c>
    </row>
    <row r="298" spans="1:1">
      <c r="A298">
        <v>0</v>
      </c>
    </row>
    <row r="299" spans="1:1">
      <c r="A299">
        <v>0</v>
      </c>
    </row>
    <row r="300" spans="1:1">
      <c r="A300">
        <v>0</v>
      </c>
    </row>
    <row r="301" spans="1:1">
      <c r="A301">
        <v>2136</v>
      </c>
    </row>
    <row r="302" spans="1:1">
      <c r="A302">
        <v>21</v>
      </c>
    </row>
    <row r="303" spans="1:1">
      <c r="A303">
        <v>2113</v>
      </c>
    </row>
    <row r="304" spans="1:1">
      <c r="A304" t="s">
        <v>337</v>
      </c>
    </row>
    <row r="305" spans="1:1">
      <c r="A305">
        <v>6336</v>
      </c>
    </row>
    <row r="306" spans="1:1">
      <c r="A306">
        <v>1</v>
      </c>
    </row>
    <row r="307" spans="1:1">
      <c r="A307">
        <v>4737</v>
      </c>
    </row>
    <row r="308" spans="1:1">
      <c r="A308">
        <v>0</v>
      </c>
    </row>
    <row r="309" spans="1:1">
      <c r="A309">
        <v>999</v>
      </c>
    </row>
    <row r="310" spans="1:1">
      <c r="A310">
        <v>999</v>
      </c>
    </row>
    <row r="311" spans="1:1">
      <c r="A311">
        <v>3000</v>
      </c>
    </row>
    <row r="312" spans="1:1">
      <c r="A312">
        <v>0</v>
      </c>
    </row>
    <row r="313" spans="1:1">
      <c r="A313">
        <v>0</v>
      </c>
    </row>
    <row r="314" spans="1:1">
      <c r="A314">
        <v>0</v>
      </c>
    </row>
    <row r="315" spans="1:1">
      <c r="A315">
        <v>2821</v>
      </c>
    </row>
    <row r="316" spans="1:1">
      <c r="A316">
        <v>179</v>
      </c>
    </row>
    <row r="317" spans="1:1">
      <c r="A317">
        <v>0</v>
      </c>
    </row>
    <row r="318" spans="1:1">
      <c r="A318">
        <v>0</v>
      </c>
    </row>
    <row r="319" spans="1:1">
      <c r="A319">
        <v>0</v>
      </c>
    </row>
    <row r="320" spans="1:1">
      <c r="A320">
        <v>0</v>
      </c>
    </row>
    <row r="321" spans="1:1">
      <c r="A321">
        <v>2</v>
      </c>
    </row>
    <row r="322" spans="1:1">
      <c r="A322">
        <v>0</v>
      </c>
    </row>
    <row r="323" spans="1:1">
      <c r="A323">
        <v>0</v>
      </c>
    </row>
    <row r="324" spans="1:1">
      <c r="A324">
        <v>0</v>
      </c>
    </row>
    <row r="325" spans="1:1">
      <c r="A325">
        <v>3</v>
      </c>
    </row>
    <row r="326" spans="1:1">
      <c r="A326">
        <v>0</v>
      </c>
    </row>
    <row r="327" spans="1:1">
      <c r="A327">
        <v>0</v>
      </c>
    </row>
    <row r="328" spans="1:1">
      <c r="A328">
        <v>0</v>
      </c>
    </row>
    <row r="329" spans="1:1">
      <c r="A329">
        <v>0</v>
      </c>
    </row>
    <row r="330" spans="1:1">
      <c r="A330" t="s">
        <v>295</v>
      </c>
    </row>
    <row r="331" spans="1:1">
      <c r="A331" t="s">
        <v>1</v>
      </c>
    </row>
    <row r="332" spans="1:1">
      <c r="A332" t="s">
        <v>1</v>
      </c>
    </row>
    <row r="333" spans="1:1">
      <c r="A333" t="s">
        <v>1</v>
      </c>
    </row>
    <row r="334" spans="1:1">
      <c r="A334" t="s">
        <v>1</v>
      </c>
    </row>
    <row r="335" spans="1:1">
      <c r="A335" t="s">
        <v>1</v>
      </c>
    </row>
    <row r="336" spans="1:1">
      <c r="A336" t="s">
        <v>1</v>
      </c>
    </row>
    <row r="337" spans="1:1">
      <c r="A337" t="s">
        <v>1</v>
      </c>
    </row>
    <row r="338" spans="1:1">
      <c r="A338" t="s">
        <v>1</v>
      </c>
    </row>
    <row r="339" spans="1:1">
      <c r="A339" t="s">
        <v>1</v>
      </c>
    </row>
    <row r="340" spans="1:1">
      <c r="A340" t="s">
        <v>1</v>
      </c>
    </row>
    <row r="341" spans="1:1">
      <c r="A341" t="s">
        <v>1</v>
      </c>
    </row>
    <row r="342" spans="1:1">
      <c r="A342" t="s">
        <v>1</v>
      </c>
    </row>
    <row r="343" spans="1:1">
      <c r="A343" t="s">
        <v>1</v>
      </c>
    </row>
    <row r="344" spans="1:1">
      <c r="A344" t="s">
        <v>1</v>
      </c>
    </row>
    <row r="345" spans="1:1">
      <c r="A345" t="s">
        <v>1</v>
      </c>
    </row>
    <row r="346" spans="1:1">
      <c r="A346" t="s">
        <v>1</v>
      </c>
    </row>
    <row r="347" spans="1:1">
      <c r="A347" t="s">
        <v>1</v>
      </c>
    </row>
    <row r="348" spans="1:1">
      <c r="A348" t="s">
        <v>1</v>
      </c>
    </row>
    <row r="349" spans="1:1">
      <c r="A349" t="s">
        <v>1</v>
      </c>
    </row>
    <row r="350" spans="1:1">
      <c r="A350" t="s">
        <v>1</v>
      </c>
    </row>
    <row r="351" spans="1:1">
      <c r="A351" t="s">
        <v>1</v>
      </c>
    </row>
    <row r="352" spans="1:1">
      <c r="A352" t="s">
        <v>1</v>
      </c>
    </row>
    <row r="353" spans="1:1">
      <c r="A353" t="s">
        <v>1</v>
      </c>
    </row>
    <row r="354" spans="1:1">
      <c r="A354" t="s">
        <v>1</v>
      </c>
    </row>
    <row r="355" spans="1:1">
      <c r="A355" t="s">
        <v>1</v>
      </c>
    </row>
    <row r="356" spans="1:1">
      <c r="A356" t="s">
        <v>1</v>
      </c>
    </row>
    <row r="357" spans="1:1">
      <c r="A357" t="s">
        <v>1</v>
      </c>
    </row>
    <row r="358" spans="1:1">
      <c r="A358" t="s">
        <v>1</v>
      </c>
    </row>
    <row r="359" spans="1:1">
      <c r="A359" t="s">
        <v>1</v>
      </c>
    </row>
    <row r="360" spans="1:1">
      <c r="A360" t="s">
        <v>1</v>
      </c>
    </row>
    <row r="361" spans="1:1">
      <c r="A361" t="s">
        <v>1</v>
      </c>
    </row>
    <row r="362" spans="1:1">
      <c r="A362" t="s">
        <v>1</v>
      </c>
    </row>
    <row r="363" spans="1:1">
      <c r="A363" t="s">
        <v>1</v>
      </c>
    </row>
    <row r="364" spans="1:1">
      <c r="A364" t="s">
        <v>1</v>
      </c>
    </row>
    <row r="365" spans="1:1">
      <c r="A365" t="s">
        <v>1</v>
      </c>
    </row>
    <row r="366" spans="1:1">
      <c r="A366" t="s">
        <v>1</v>
      </c>
    </row>
    <row r="367" spans="1:1">
      <c r="A367" t="s">
        <v>1</v>
      </c>
    </row>
    <row r="368" spans="1:1">
      <c r="A368" t="s">
        <v>1</v>
      </c>
    </row>
    <row r="369" spans="1:1">
      <c r="A369" t="s">
        <v>1</v>
      </c>
    </row>
    <row r="370" spans="1:1">
      <c r="A370" t="s">
        <v>1</v>
      </c>
    </row>
    <row r="371" spans="1:1">
      <c r="A371" t="s">
        <v>1</v>
      </c>
    </row>
    <row r="372" spans="1:1">
      <c r="A372" t="s">
        <v>1</v>
      </c>
    </row>
    <row r="373" spans="1:1">
      <c r="A373" t="s">
        <v>1</v>
      </c>
    </row>
    <row r="374" spans="1:1">
      <c r="A374" t="s">
        <v>1</v>
      </c>
    </row>
    <row r="375" spans="1:1">
      <c r="A375" t="s">
        <v>1</v>
      </c>
    </row>
    <row r="376" spans="1:1">
      <c r="A376" t="s">
        <v>1</v>
      </c>
    </row>
    <row r="377" spans="1:1">
      <c r="A377" t="s">
        <v>1</v>
      </c>
    </row>
    <row r="378" spans="1:1">
      <c r="A378" t="s">
        <v>1</v>
      </c>
    </row>
    <row r="379" spans="1:1">
      <c r="A379" t="s">
        <v>1</v>
      </c>
    </row>
    <row r="380" spans="1:1">
      <c r="A380" t="s">
        <v>1</v>
      </c>
    </row>
    <row r="381" spans="1:1">
      <c r="A381" t="s">
        <v>1</v>
      </c>
    </row>
    <row r="382" spans="1:1">
      <c r="A382" t="s">
        <v>1</v>
      </c>
    </row>
    <row r="383" spans="1:1">
      <c r="A383" t="s">
        <v>1</v>
      </c>
    </row>
    <row r="384" spans="1:1">
      <c r="A384" t="s">
        <v>1</v>
      </c>
    </row>
    <row r="385" spans="1:1">
      <c r="A385" t="s">
        <v>1</v>
      </c>
    </row>
    <row r="386" spans="1:1">
      <c r="A386" t="s">
        <v>1</v>
      </c>
    </row>
    <row r="387" spans="1:1">
      <c r="A387" t="s">
        <v>1</v>
      </c>
    </row>
    <row r="388" spans="1:1">
      <c r="A388" t="s">
        <v>1</v>
      </c>
    </row>
    <row r="389" spans="1:1">
      <c r="A389" t="s">
        <v>1</v>
      </c>
    </row>
    <row r="390" spans="1:1">
      <c r="A390" t="s">
        <v>1</v>
      </c>
    </row>
    <row r="391" spans="1:1">
      <c r="A391" t="s">
        <v>1</v>
      </c>
    </row>
    <row r="392" spans="1:1">
      <c r="A392" t="s">
        <v>1</v>
      </c>
    </row>
    <row r="393" spans="1:1">
      <c r="A393" t="s">
        <v>1</v>
      </c>
    </row>
    <row r="394" spans="1:1">
      <c r="A394" t="s">
        <v>1</v>
      </c>
    </row>
    <row r="395" spans="1:1">
      <c r="A395" t="s">
        <v>1</v>
      </c>
    </row>
    <row r="396" spans="1:1">
      <c r="A396" t="s">
        <v>1</v>
      </c>
    </row>
    <row r="397" spans="1:1">
      <c r="A397" t="s">
        <v>1</v>
      </c>
    </row>
    <row r="398" spans="1:1">
      <c r="A398" t="s">
        <v>1</v>
      </c>
    </row>
    <row r="399" spans="1:1">
      <c r="A399" t="s">
        <v>1</v>
      </c>
    </row>
    <row r="400" spans="1:1">
      <c r="A400" t="s">
        <v>1</v>
      </c>
    </row>
    <row r="401" spans="1:1">
      <c r="A401" t="s">
        <v>1</v>
      </c>
    </row>
    <row r="402" spans="1:1">
      <c r="A402" t="s">
        <v>1</v>
      </c>
    </row>
    <row r="403" spans="1:1">
      <c r="A403" t="s">
        <v>1</v>
      </c>
    </row>
    <row r="404" spans="1:1">
      <c r="A404" t="s">
        <v>1</v>
      </c>
    </row>
    <row r="405" spans="1:1">
      <c r="A405" t="s">
        <v>1</v>
      </c>
    </row>
    <row r="406" spans="1:1">
      <c r="A406" t="s">
        <v>1</v>
      </c>
    </row>
    <row r="407" spans="1:1">
      <c r="A407" t="s">
        <v>1</v>
      </c>
    </row>
    <row r="408" spans="1:1">
      <c r="A408" t="s">
        <v>1</v>
      </c>
    </row>
    <row r="409" spans="1:1">
      <c r="A409" t="s">
        <v>1</v>
      </c>
    </row>
    <row r="410" spans="1:1">
      <c r="A410" t="s">
        <v>1</v>
      </c>
    </row>
    <row r="411" spans="1:1">
      <c r="A411">
        <v>999</v>
      </c>
    </row>
    <row r="412" spans="1:1">
      <c r="A412">
        <v>999</v>
      </c>
    </row>
    <row r="413" spans="1:1">
      <c r="A413">
        <v>999</v>
      </c>
    </row>
    <row r="414" spans="1:1">
      <c r="A414">
        <v>999</v>
      </c>
    </row>
    <row r="415" spans="1:1">
      <c r="A415">
        <v>999</v>
      </c>
    </row>
    <row r="416" spans="1:1">
      <c r="A416">
        <v>999</v>
      </c>
    </row>
    <row r="417" spans="1:1">
      <c r="A417">
        <v>999</v>
      </c>
    </row>
    <row r="418" spans="1:1">
      <c r="A418">
        <v>999</v>
      </c>
    </row>
    <row r="419" spans="1:1">
      <c r="A419">
        <v>999</v>
      </c>
    </row>
    <row r="420" spans="1:1">
      <c r="A420" t="s">
        <v>1</v>
      </c>
    </row>
    <row r="421" spans="1:1">
      <c r="A421">
        <v>1</v>
      </c>
    </row>
    <row r="422" spans="1:1">
      <c r="A422">
        <v>45000</v>
      </c>
    </row>
    <row r="423" spans="1:1">
      <c r="A423">
        <v>60000</v>
      </c>
    </row>
    <row r="424" spans="1:1">
      <c r="A424" s="80" t="s">
        <v>332</v>
      </c>
    </row>
    <row r="425" spans="1:1">
      <c r="A425" s="80" t="s">
        <v>332</v>
      </c>
    </row>
    <row r="426" spans="1:1">
      <c r="A426" s="80" t="s">
        <v>332</v>
      </c>
    </row>
    <row r="427" spans="1:1">
      <c r="A427" s="80" t="s">
        <v>1</v>
      </c>
    </row>
    <row r="428" spans="1:1">
      <c r="A428">
        <v>2</v>
      </c>
    </row>
    <row r="429" spans="1:1">
      <c r="A429">
        <v>45000</v>
      </c>
    </row>
    <row r="430" spans="1:1">
      <c r="A430">
        <v>60000</v>
      </c>
    </row>
    <row r="431" spans="1:1">
      <c r="A431" s="80" t="s">
        <v>332</v>
      </c>
    </row>
    <row r="432" spans="1:1">
      <c r="A432" s="80" t="s">
        <v>332</v>
      </c>
    </row>
    <row r="433" spans="1:1">
      <c r="A433" s="80" t="s">
        <v>332</v>
      </c>
    </row>
    <row r="434" spans="1:1">
      <c r="A434" s="80" t="s">
        <v>1</v>
      </c>
    </row>
    <row r="435" spans="1:1">
      <c r="A435">
        <v>3</v>
      </c>
    </row>
    <row r="436" spans="1:1">
      <c r="A436">
        <v>45000</v>
      </c>
    </row>
    <row r="437" spans="1:1">
      <c r="A437">
        <v>60000</v>
      </c>
    </row>
    <row r="438" spans="1:1">
      <c r="A438" s="80" t="s">
        <v>332</v>
      </c>
    </row>
    <row r="439" spans="1:1">
      <c r="A439" s="80" t="s">
        <v>332</v>
      </c>
    </row>
    <row r="440" spans="1:1">
      <c r="A440" s="80" t="s">
        <v>332</v>
      </c>
    </row>
    <row r="441" spans="1:1">
      <c r="A441" s="80" t="s">
        <v>1</v>
      </c>
    </row>
    <row r="442" spans="1:1">
      <c r="A442">
        <v>4</v>
      </c>
    </row>
    <row r="443" spans="1:1">
      <c r="A443">
        <v>45000</v>
      </c>
    </row>
    <row r="444" spans="1:1">
      <c r="A444">
        <v>60000</v>
      </c>
    </row>
    <row r="445" spans="1:1">
      <c r="A445" s="80" t="s">
        <v>332</v>
      </c>
    </row>
    <row r="446" spans="1:1">
      <c r="A446" s="80" t="s">
        <v>332</v>
      </c>
    </row>
    <row r="447" spans="1:1">
      <c r="A447" s="80" t="s">
        <v>332</v>
      </c>
    </row>
    <row r="448" spans="1:1">
      <c r="A448" s="80" t="s">
        <v>1</v>
      </c>
    </row>
    <row r="449" spans="1:1">
      <c r="A449">
        <v>5</v>
      </c>
    </row>
    <row r="450" spans="1:1">
      <c r="A450">
        <v>45000</v>
      </c>
    </row>
    <row r="451" spans="1:1">
      <c r="A451">
        <v>60000</v>
      </c>
    </row>
    <row r="452" spans="1:1">
      <c r="A452" s="80" t="s">
        <v>332</v>
      </c>
    </row>
    <row r="453" spans="1:1">
      <c r="A453" s="80" t="s">
        <v>332</v>
      </c>
    </row>
    <row r="454" spans="1:1">
      <c r="A454" s="80" t="s">
        <v>332</v>
      </c>
    </row>
    <row r="455" spans="1:1">
      <c r="A455" s="80" t="s">
        <v>1</v>
      </c>
    </row>
    <row r="456" spans="1:1">
      <c r="A456">
        <v>6</v>
      </c>
    </row>
    <row r="457" spans="1:1">
      <c r="A457">
        <v>45000</v>
      </c>
    </row>
    <row r="458" spans="1:1">
      <c r="A458">
        <v>60000</v>
      </c>
    </row>
    <row r="459" spans="1:1">
      <c r="A459" s="80" t="s">
        <v>332</v>
      </c>
    </row>
    <row r="460" spans="1:1">
      <c r="A460" s="80" t="s">
        <v>332</v>
      </c>
    </row>
    <row r="461" spans="1:1">
      <c r="A461" s="80" t="s">
        <v>332</v>
      </c>
    </row>
    <row r="462" spans="1:1">
      <c r="A462" s="80" t="s">
        <v>1</v>
      </c>
    </row>
    <row r="463" spans="1:1">
      <c r="A463">
        <v>7</v>
      </c>
    </row>
    <row r="464" spans="1:1">
      <c r="A464">
        <v>45000</v>
      </c>
    </row>
    <row r="465" spans="1:1">
      <c r="A465">
        <v>60000</v>
      </c>
    </row>
    <row r="466" spans="1:1">
      <c r="A466" s="80" t="s">
        <v>332</v>
      </c>
    </row>
    <row r="467" spans="1:1">
      <c r="A467" s="80" t="s">
        <v>332</v>
      </c>
    </row>
    <row r="468" spans="1:1">
      <c r="A468" s="80" t="s">
        <v>332</v>
      </c>
    </row>
    <row r="469" spans="1:1">
      <c r="A469" s="80" t="s">
        <v>1</v>
      </c>
    </row>
    <row r="470" spans="1:1">
      <c r="A470">
        <v>8</v>
      </c>
    </row>
    <row r="471" spans="1:1">
      <c r="A471">
        <v>45000</v>
      </c>
    </row>
    <row r="472" spans="1:1">
      <c r="A472">
        <v>60000</v>
      </c>
    </row>
    <row r="473" spans="1:1">
      <c r="A473" s="80" t="s">
        <v>332</v>
      </c>
    </row>
    <row r="474" spans="1:1">
      <c r="A474" s="80" t="s">
        <v>332</v>
      </c>
    </row>
    <row r="475" spans="1:1">
      <c r="A475" s="80" t="s">
        <v>332</v>
      </c>
    </row>
    <row r="476" spans="1:1">
      <c r="A476" s="80" t="s">
        <v>1</v>
      </c>
    </row>
    <row r="477" spans="1:1">
      <c r="A477">
        <v>999</v>
      </c>
    </row>
    <row r="478" spans="1:1">
      <c r="A478">
        <v>999</v>
      </c>
    </row>
    <row r="479" spans="1:1">
      <c r="A479">
        <v>999</v>
      </c>
    </row>
    <row r="480" spans="1:1">
      <c r="A480">
        <v>999</v>
      </c>
    </row>
    <row r="481" spans="1:1">
      <c r="A481">
        <v>999</v>
      </c>
    </row>
    <row r="482" spans="1:1">
      <c r="A482">
        <v>999</v>
      </c>
    </row>
    <row r="483" spans="1:1">
      <c r="A483">
        <v>999</v>
      </c>
    </row>
    <row r="484" spans="1:1">
      <c r="A484">
        <v>999</v>
      </c>
    </row>
    <row r="485" spans="1:1">
      <c r="A485">
        <v>999</v>
      </c>
    </row>
    <row r="486" spans="1:1">
      <c r="A486">
        <v>999</v>
      </c>
    </row>
    <row r="487" spans="1:1">
      <c r="A487">
        <v>999</v>
      </c>
    </row>
    <row r="488" spans="1:1">
      <c r="A488">
        <v>999</v>
      </c>
    </row>
    <row r="489" spans="1:1">
      <c r="A489">
        <v>999</v>
      </c>
    </row>
    <row r="490" spans="1:1">
      <c r="A490">
        <v>999</v>
      </c>
    </row>
    <row r="491" spans="1:1">
      <c r="A491">
        <v>999</v>
      </c>
    </row>
    <row r="492" spans="1:1">
      <c r="A492">
        <v>999</v>
      </c>
    </row>
    <row r="493" spans="1:1">
      <c r="A493">
        <v>999</v>
      </c>
    </row>
    <row r="494" spans="1:1">
      <c r="A494">
        <v>999</v>
      </c>
    </row>
    <row r="495" spans="1:1">
      <c r="A495">
        <v>999</v>
      </c>
    </row>
    <row r="496" spans="1:1">
      <c r="A496">
        <v>999</v>
      </c>
    </row>
    <row r="497" spans="1:1">
      <c r="A497">
        <v>999</v>
      </c>
    </row>
    <row r="498" spans="1:1">
      <c r="A498">
        <v>999</v>
      </c>
    </row>
    <row r="499" spans="1:1">
      <c r="A499">
        <v>999</v>
      </c>
    </row>
    <row r="500" spans="1:1">
      <c r="A500" t="s">
        <v>294</v>
      </c>
    </row>
    <row r="501" spans="1:1">
      <c r="A501">
        <v>25</v>
      </c>
    </row>
    <row r="502" spans="1:1">
      <c r="A502">
        <v>10</v>
      </c>
    </row>
    <row r="503" spans="1:1">
      <c r="A503">
        <v>47</v>
      </c>
    </row>
    <row r="504" spans="1:1">
      <c r="A504">
        <v>59</v>
      </c>
    </row>
    <row r="505" spans="1:1">
      <c r="A505">
        <v>3778</v>
      </c>
    </row>
    <row r="506" spans="1:1">
      <c r="A506">
        <v>3982</v>
      </c>
    </row>
    <row r="507" spans="1:1">
      <c r="A507">
        <v>71</v>
      </c>
    </row>
    <row r="508" spans="1:1">
      <c r="A508">
        <v>54</v>
      </c>
    </row>
    <row r="509" spans="1:1">
      <c r="A509">
        <v>1298</v>
      </c>
    </row>
    <row r="510" spans="1:1">
      <c r="A510">
        <v>2515</v>
      </c>
    </row>
    <row r="511" spans="1:1">
      <c r="A511">
        <v>75</v>
      </c>
    </row>
    <row r="512" spans="1:1">
      <c r="A512">
        <v>999</v>
      </c>
    </row>
    <row r="513" spans="1:1">
      <c r="A513">
        <v>999</v>
      </c>
    </row>
    <row r="514" spans="1:1">
      <c r="A514">
        <v>37245</v>
      </c>
    </row>
    <row r="515" spans="1:1">
      <c r="A515">
        <v>49661</v>
      </c>
    </row>
    <row r="516" spans="1:1">
      <c r="A516">
        <v>49414</v>
      </c>
    </row>
    <row r="517" spans="1:1">
      <c r="A517">
        <v>48662</v>
      </c>
    </row>
    <row r="518" spans="1:1">
      <c r="A518">
        <v>500</v>
      </c>
    </row>
    <row r="519" spans="1:1">
      <c r="A519">
        <v>999</v>
      </c>
    </row>
    <row r="520" spans="1:1">
      <c r="A520">
        <v>999</v>
      </c>
    </row>
    <row r="521" spans="1:1">
      <c r="A521">
        <v>1</v>
      </c>
    </row>
    <row r="522" spans="1:1">
      <c r="A522">
        <v>9366</v>
      </c>
    </row>
    <row r="523" spans="1:1">
      <c r="A523">
        <v>2809800</v>
      </c>
    </row>
    <row r="524" spans="1:1">
      <c r="A524">
        <v>0</v>
      </c>
    </row>
    <row r="525" spans="1:1">
      <c r="A525">
        <v>2809800</v>
      </c>
    </row>
    <row r="526" spans="1:1">
      <c r="A526">
        <v>285</v>
      </c>
    </row>
    <row r="527" spans="1:1">
      <c r="A527">
        <v>0</v>
      </c>
    </row>
    <row r="528" spans="1:1">
      <c r="A528">
        <v>0</v>
      </c>
    </row>
    <row r="529" spans="1:1">
      <c r="A529">
        <v>450</v>
      </c>
    </row>
    <row r="530" spans="1:1">
      <c r="A530">
        <v>0</v>
      </c>
    </row>
    <row r="531" spans="1:1">
      <c r="A531">
        <v>0</v>
      </c>
    </row>
    <row r="532" spans="1:1">
      <c r="A532">
        <v>680</v>
      </c>
    </row>
    <row r="533" spans="1:1">
      <c r="A533">
        <v>0</v>
      </c>
    </row>
    <row r="534" spans="1:1">
      <c r="A534">
        <v>0</v>
      </c>
    </row>
    <row r="535" spans="1:1">
      <c r="A535">
        <v>27</v>
      </c>
    </row>
    <row r="536" spans="1:1">
      <c r="A536">
        <v>1000</v>
      </c>
    </row>
    <row r="537" spans="1:1">
      <c r="A537">
        <v>2</v>
      </c>
    </row>
    <row r="538" spans="1:1">
      <c r="A538">
        <v>999</v>
      </c>
    </row>
    <row r="539" spans="1:1">
      <c r="A539">
        <v>999</v>
      </c>
    </row>
    <row r="540" spans="1:1">
      <c r="A540">
        <v>999</v>
      </c>
    </row>
    <row r="541" spans="1:1">
      <c r="A541">
        <v>2</v>
      </c>
    </row>
    <row r="542" spans="1:1">
      <c r="A542">
        <v>9366</v>
      </c>
    </row>
    <row r="543" spans="1:1">
      <c r="A543">
        <v>2809800</v>
      </c>
    </row>
    <row r="544" spans="1:1">
      <c r="A544">
        <v>0</v>
      </c>
    </row>
    <row r="545" spans="1:1">
      <c r="A545">
        <v>2809800</v>
      </c>
    </row>
    <row r="546" spans="1:1">
      <c r="A546">
        <v>285</v>
      </c>
    </row>
    <row r="547" spans="1:1">
      <c r="A547">
        <v>0</v>
      </c>
    </row>
    <row r="548" spans="1:1">
      <c r="A548">
        <v>0</v>
      </c>
    </row>
    <row r="549" spans="1:1">
      <c r="A549">
        <v>450</v>
      </c>
    </row>
    <row r="550" spans="1:1">
      <c r="A550">
        <v>0</v>
      </c>
    </row>
    <row r="551" spans="1:1">
      <c r="A551">
        <v>0</v>
      </c>
    </row>
    <row r="552" spans="1:1">
      <c r="A552">
        <v>680</v>
      </c>
    </row>
    <row r="553" spans="1:1">
      <c r="A553">
        <v>0</v>
      </c>
    </row>
    <row r="554" spans="1:1">
      <c r="A554">
        <v>0</v>
      </c>
    </row>
    <row r="555" spans="1:1">
      <c r="A555">
        <v>27</v>
      </c>
    </row>
    <row r="556" spans="1:1">
      <c r="A556">
        <v>1000</v>
      </c>
    </row>
    <row r="557" spans="1:1">
      <c r="A557">
        <v>2</v>
      </c>
    </row>
    <row r="558" spans="1:1">
      <c r="A558">
        <v>999</v>
      </c>
    </row>
    <row r="559" spans="1:1">
      <c r="A559">
        <v>999</v>
      </c>
    </row>
    <row r="560" spans="1:1">
      <c r="A560">
        <v>999</v>
      </c>
    </row>
    <row r="561" spans="1:1">
      <c r="A561">
        <v>3</v>
      </c>
    </row>
    <row r="562" spans="1:1">
      <c r="A562">
        <v>9366</v>
      </c>
    </row>
    <row r="563" spans="1:1">
      <c r="A563">
        <v>2809800</v>
      </c>
    </row>
    <row r="564" spans="1:1">
      <c r="A564">
        <v>0</v>
      </c>
    </row>
    <row r="565" spans="1:1">
      <c r="A565">
        <v>2809800</v>
      </c>
    </row>
    <row r="566" spans="1:1">
      <c r="A566">
        <v>285</v>
      </c>
    </row>
    <row r="567" spans="1:1">
      <c r="A567">
        <v>0</v>
      </c>
    </row>
    <row r="568" spans="1:1">
      <c r="A568">
        <v>0</v>
      </c>
    </row>
    <row r="569" spans="1:1">
      <c r="A569">
        <v>450</v>
      </c>
    </row>
    <row r="570" spans="1:1">
      <c r="A570">
        <v>0</v>
      </c>
    </row>
    <row r="571" spans="1:1">
      <c r="A571">
        <v>0</v>
      </c>
    </row>
    <row r="572" spans="1:1">
      <c r="A572">
        <v>680</v>
      </c>
    </row>
    <row r="573" spans="1:1">
      <c r="A573">
        <v>0</v>
      </c>
    </row>
    <row r="574" spans="1:1">
      <c r="A574">
        <v>0</v>
      </c>
    </row>
    <row r="575" spans="1:1">
      <c r="A575">
        <v>27</v>
      </c>
    </row>
    <row r="576" spans="1:1">
      <c r="A576">
        <v>1000</v>
      </c>
    </row>
    <row r="577" spans="1:1">
      <c r="A577">
        <v>2</v>
      </c>
    </row>
    <row r="578" spans="1:1">
      <c r="A578">
        <v>999</v>
      </c>
    </row>
    <row r="579" spans="1:1">
      <c r="A579">
        <v>999</v>
      </c>
    </row>
    <row r="580" spans="1:1">
      <c r="A580">
        <v>999</v>
      </c>
    </row>
    <row r="581" spans="1:1">
      <c r="A581">
        <v>4</v>
      </c>
    </row>
    <row r="582" spans="1:1">
      <c r="A582">
        <v>9366</v>
      </c>
    </row>
    <row r="583" spans="1:1">
      <c r="A583">
        <v>2809800</v>
      </c>
    </row>
    <row r="584" spans="1:1">
      <c r="A584">
        <v>0</v>
      </c>
    </row>
    <row r="585" spans="1:1">
      <c r="A585">
        <v>2809800</v>
      </c>
    </row>
    <row r="586" spans="1:1">
      <c r="A586">
        <v>285</v>
      </c>
    </row>
    <row r="587" spans="1:1">
      <c r="A587">
        <v>0</v>
      </c>
    </row>
    <row r="588" spans="1:1">
      <c r="A588">
        <v>0</v>
      </c>
    </row>
    <row r="589" spans="1:1">
      <c r="A589">
        <v>450</v>
      </c>
    </row>
    <row r="590" spans="1:1">
      <c r="A590">
        <v>0</v>
      </c>
    </row>
    <row r="591" spans="1:1">
      <c r="A591">
        <v>0</v>
      </c>
    </row>
    <row r="592" spans="1:1">
      <c r="A592">
        <v>680</v>
      </c>
    </row>
    <row r="593" spans="1:1">
      <c r="A593">
        <v>0</v>
      </c>
    </row>
    <row r="594" spans="1:1">
      <c r="A594">
        <v>0</v>
      </c>
    </row>
    <row r="595" spans="1:1">
      <c r="A595">
        <v>27</v>
      </c>
    </row>
    <row r="596" spans="1:1">
      <c r="A596">
        <v>1000</v>
      </c>
    </row>
    <row r="597" spans="1:1">
      <c r="A597">
        <v>2</v>
      </c>
    </row>
    <row r="598" spans="1:1">
      <c r="A598">
        <v>999</v>
      </c>
    </row>
    <row r="599" spans="1:1">
      <c r="A599">
        <v>999</v>
      </c>
    </row>
    <row r="600" spans="1:1">
      <c r="A600">
        <v>999</v>
      </c>
    </row>
    <row r="601" spans="1:1">
      <c r="A601">
        <v>5</v>
      </c>
    </row>
    <row r="602" spans="1:1">
      <c r="A602">
        <v>9366</v>
      </c>
    </row>
    <row r="603" spans="1:1">
      <c r="A603">
        <v>2809800</v>
      </c>
    </row>
    <row r="604" spans="1:1">
      <c r="A604">
        <v>0</v>
      </c>
    </row>
    <row r="605" spans="1:1">
      <c r="A605">
        <v>2809800</v>
      </c>
    </row>
    <row r="606" spans="1:1">
      <c r="A606">
        <v>285</v>
      </c>
    </row>
    <row r="607" spans="1:1">
      <c r="A607">
        <v>0</v>
      </c>
    </row>
    <row r="608" spans="1:1">
      <c r="A608">
        <v>0</v>
      </c>
    </row>
    <row r="609" spans="1:1">
      <c r="A609">
        <v>450</v>
      </c>
    </row>
    <row r="610" spans="1:1">
      <c r="A610">
        <v>0</v>
      </c>
    </row>
    <row r="611" spans="1:1">
      <c r="A611">
        <v>0</v>
      </c>
    </row>
    <row r="612" spans="1:1">
      <c r="A612">
        <v>680</v>
      </c>
    </row>
    <row r="613" spans="1:1">
      <c r="A613">
        <v>0</v>
      </c>
    </row>
    <row r="614" spans="1:1">
      <c r="A614">
        <v>0</v>
      </c>
    </row>
    <row r="615" spans="1:1">
      <c r="A615">
        <v>27</v>
      </c>
    </row>
    <row r="616" spans="1:1">
      <c r="A616">
        <v>1000</v>
      </c>
    </row>
    <row r="617" spans="1:1">
      <c r="A617">
        <v>2</v>
      </c>
    </row>
    <row r="618" spans="1:1">
      <c r="A618">
        <v>999</v>
      </c>
    </row>
    <row r="619" spans="1:1">
      <c r="A619">
        <v>999</v>
      </c>
    </row>
    <row r="620" spans="1:1">
      <c r="A620">
        <v>999</v>
      </c>
    </row>
    <row r="621" spans="1:1">
      <c r="A621">
        <v>6</v>
      </c>
    </row>
    <row r="622" spans="1:1">
      <c r="A622">
        <v>9366</v>
      </c>
    </row>
    <row r="623" spans="1:1">
      <c r="A623">
        <v>2809800</v>
      </c>
    </row>
    <row r="624" spans="1:1">
      <c r="A624">
        <v>0</v>
      </c>
    </row>
    <row r="625" spans="1:1">
      <c r="A625">
        <v>2809800</v>
      </c>
    </row>
    <row r="626" spans="1:1">
      <c r="A626">
        <v>285</v>
      </c>
    </row>
    <row r="627" spans="1:1">
      <c r="A627">
        <v>0</v>
      </c>
    </row>
    <row r="628" spans="1:1">
      <c r="A628">
        <v>0</v>
      </c>
    </row>
    <row r="629" spans="1:1">
      <c r="A629">
        <v>450</v>
      </c>
    </row>
    <row r="630" spans="1:1">
      <c r="A630">
        <v>0</v>
      </c>
    </row>
    <row r="631" spans="1:1">
      <c r="A631">
        <v>0</v>
      </c>
    </row>
    <row r="632" spans="1:1">
      <c r="A632">
        <v>680</v>
      </c>
    </row>
    <row r="633" spans="1:1">
      <c r="A633">
        <v>0</v>
      </c>
    </row>
    <row r="634" spans="1:1">
      <c r="A634">
        <v>0</v>
      </c>
    </row>
    <row r="635" spans="1:1">
      <c r="A635">
        <v>27</v>
      </c>
    </row>
    <row r="636" spans="1:1">
      <c r="A636">
        <v>1000</v>
      </c>
    </row>
    <row r="637" spans="1:1">
      <c r="A637">
        <v>2</v>
      </c>
    </row>
    <row r="638" spans="1:1">
      <c r="A638">
        <v>999</v>
      </c>
    </row>
    <row r="639" spans="1:1">
      <c r="A639">
        <v>999</v>
      </c>
    </row>
    <row r="640" spans="1:1">
      <c r="A640">
        <v>999</v>
      </c>
    </row>
    <row r="641" spans="1:1">
      <c r="A641">
        <v>7</v>
      </c>
    </row>
    <row r="642" spans="1:1">
      <c r="A642">
        <v>9366</v>
      </c>
    </row>
    <row r="643" spans="1:1">
      <c r="A643">
        <v>2809800</v>
      </c>
    </row>
    <row r="644" spans="1:1">
      <c r="A644">
        <v>0</v>
      </c>
    </row>
    <row r="645" spans="1:1">
      <c r="A645">
        <v>2809800</v>
      </c>
    </row>
    <row r="646" spans="1:1">
      <c r="A646">
        <v>285</v>
      </c>
    </row>
    <row r="647" spans="1:1">
      <c r="A647">
        <v>0</v>
      </c>
    </row>
    <row r="648" spans="1:1">
      <c r="A648">
        <v>0</v>
      </c>
    </row>
    <row r="649" spans="1:1">
      <c r="A649">
        <v>450</v>
      </c>
    </row>
    <row r="650" spans="1:1">
      <c r="A650">
        <v>0</v>
      </c>
    </row>
    <row r="651" spans="1:1">
      <c r="A651">
        <v>0</v>
      </c>
    </row>
    <row r="652" spans="1:1">
      <c r="A652">
        <v>680</v>
      </c>
    </row>
    <row r="653" spans="1:1">
      <c r="A653">
        <v>0</v>
      </c>
    </row>
    <row r="654" spans="1:1">
      <c r="A654">
        <v>0</v>
      </c>
    </row>
    <row r="655" spans="1:1">
      <c r="A655">
        <v>27</v>
      </c>
    </row>
    <row r="656" spans="1:1">
      <c r="A656">
        <v>1000</v>
      </c>
    </row>
    <row r="657" spans="1:1">
      <c r="A657">
        <v>2</v>
      </c>
    </row>
    <row r="658" spans="1:1">
      <c r="A658">
        <v>999</v>
      </c>
    </row>
    <row r="659" spans="1:1">
      <c r="A659">
        <v>999</v>
      </c>
    </row>
    <row r="660" spans="1:1">
      <c r="A660">
        <v>999</v>
      </c>
    </row>
    <row r="661" spans="1:1">
      <c r="A661">
        <v>8</v>
      </c>
    </row>
    <row r="662" spans="1:1">
      <c r="A662">
        <v>9366</v>
      </c>
    </row>
    <row r="663" spans="1:1">
      <c r="A663">
        <v>2809800</v>
      </c>
    </row>
    <row r="664" spans="1:1">
      <c r="A664">
        <v>0</v>
      </c>
    </row>
    <row r="665" spans="1:1">
      <c r="A665">
        <v>2809800</v>
      </c>
    </row>
    <row r="666" spans="1:1">
      <c r="A666">
        <v>285</v>
      </c>
    </row>
    <row r="667" spans="1:1">
      <c r="A667">
        <v>0</v>
      </c>
    </row>
    <row r="668" spans="1:1">
      <c r="A668">
        <v>0</v>
      </c>
    </row>
    <row r="669" spans="1:1">
      <c r="A669">
        <v>450</v>
      </c>
    </row>
    <row r="670" spans="1:1">
      <c r="A670">
        <v>0</v>
      </c>
    </row>
    <row r="671" spans="1:1">
      <c r="A671">
        <v>0</v>
      </c>
    </row>
    <row r="672" spans="1:1">
      <c r="A672">
        <v>680</v>
      </c>
    </row>
    <row r="673" spans="1:1">
      <c r="A673">
        <v>0</v>
      </c>
    </row>
    <row r="674" spans="1:1">
      <c r="A674">
        <v>0</v>
      </c>
    </row>
    <row r="675" spans="1:1">
      <c r="A675">
        <v>27</v>
      </c>
    </row>
    <row r="676" spans="1:1">
      <c r="A676">
        <v>1000</v>
      </c>
    </row>
    <row r="677" spans="1:1">
      <c r="A677">
        <v>2</v>
      </c>
    </row>
    <row r="678" spans="1:1">
      <c r="A678">
        <v>999</v>
      </c>
    </row>
    <row r="679" spans="1:1">
      <c r="A679">
        <v>999</v>
      </c>
    </row>
    <row r="680" spans="1:1">
      <c r="A680">
        <v>999</v>
      </c>
    </row>
    <row r="681" spans="1:1">
      <c r="A681" t="s">
        <v>338</v>
      </c>
    </row>
    <row r="682" spans="1:1">
      <c r="A682" t="s">
        <v>339</v>
      </c>
    </row>
    <row r="683" spans="1:1">
      <c r="A683" t="s">
        <v>340</v>
      </c>
    </row>
    <row r="684" spans="1:1">
      <c r="A684" t="s">
        <v>1</v>
      </c>
    </row>
    <row r="685" spans="1:1">
      <c r="A685" t="s">
        <v>1</v>
      </c>
    </row>
    <row r="686" spans="1:1">
      <c r="A686" t="s">
        <v>1</v>
      </c>
    </row>
    <row r="687" spans="1:1">
      <c r="A687">
        <v>999</v>
      </c>
    </row>
    <row r="688" spans="1:1">
      <c r="A688">
        <v>999</v>
      </c>
    </row>
    <row r="689" spans="1:1">
      <c r="A689">
        <v>999</v>
      </c>
    </row>
    <row r="690" spans="1:1">
      <c r="A690">
        <v>999</v>
      </c>
    </row>
    <row r="691" spans="1:1">
      <c r="A691">
        <v>999</v>
      </c>
    </row>
    <row r="692" spans="1:1">
      <c r="A692">
        <v>999</v>
      </c>
    </row>
    <row r="693" spans="1:1">
      <c r="A693">
        <v>999</v>
      </c>
    </row>
    <row r="694" spans="1:1">
      <c r="A694">
        <v>999</v>
      </c>
    </row>
    <row r="695" spans="1:1">
      <c r="A695">
        <v>999</v>
      </c>
    </row>
    <row r="696" spans="1:1">
      <c r="A696">
        <v>999</v>
      </c>
    </row>
    <row r="697" spans="1:1">
      <c r="A697">
        <v>999</v>
      </c>
    </row>
    <row r="698" spans="1:1">
      <c r="A698">
        <v>999</v>
      </c>
    </row>
    <row r="700" spans="1:1">
      <c r="A700" t="s">
        <v>1</v>
      </c>
    </row>
    <row r="701" spans="1:1">
      <c r="A701">
        <v>1</v>
      </c>
    </row>
    <row r="702" spans="1:1">
      <c r="A702">
        <v>1455376</v>
      </c>
    </row>
    <row r="703" spans="1:1">
      <c r="A703">
        <v>138767</v>
      </c>
    </row>
    <row r="704" spans="1:1">
      <c r="A704">
        <v>300098</v>
      </c>
    </row>
    <row r="705" spans="1:1">
      <c r="A705">
        <v>1900000</v>
      </c>
    </row>
    <row r="706" spans="1:1">
      <c r="A706">
        <v>999</v>
      </c>
    </row>
    <row r="707" spans="1:1">
      <c r="A707">
        <v>999</v>
      </c>
    </row>
    <row r="708" spans="1:1">
      <c r="A708">
        <v>0</v>
      </c>
    </row>
    <row r="709" spans="1:1">
      <c r="A709">
        <v>109679</v>
      </c>
    </row>
    <row r="710" spans="1:1">
      <c r="A710">
        <v>1035760</v>
      </c>
    </row>
    <row r="711" spans="1:1">
      <c r="A711">
        <v>999</v>
      </c>
    </row>
    <row r="712" spans="1:1">
      <c r="A712">
        <v>0</v>
      </c>
    </row>
    <row r="713" spans="1:1">
      <c r="A713">
        <v>999</v>
      </c>
    </row>
    <row r="714" spans="1:1">
      <c r="A714">
        <v>3000000</v>
      </c>
    </row>
    <row r="715" spans="1:1">
      <c r="A715">
        <v>0</v>
      </c>
    </row>
    <row r="716" spans="1:1">
      <c r="A716">
        <v>-351198</v>
      </c>
    </row>
    <row r="717" spans="1:1">
      <c r="A717">
        <v>2648802</v>
      </c>
    </row>
    <row r="718" spans="1:1">
      <c r="A718">
        <v>999</v>
      </c>
    </row>
    <row r="719" spans="1:1">
      <c r="A719">
        <v>999</v>
      </c>
    </row>
    <row r="720" spans="1:1">
      <c r="A720">
        <v>999</v>
      </c>
    </row>
    <row r="721" spans="1:1">
      <c r="A721">
        <v>2</v>
      </c>
    </row>
    <row r="722" spans="1:1">
      <c r="A722">
        <v>1455376</v>
      </c>
    </row>
    <row r="723" spans="1:1">
      <c r="A723">
        <v>138767</v>
      </c>
    </row>
    <row r="724" spans="1:1">
      <c r="A724">
        <v>300098</v>
      </c>
    </row>
    <row r="725" spans="1:1">
      <c r="A725">
        <v>1900000</v>
      </c>
    </row>
    <row r="726" spans="1:1">
      <c r="A726">
        <v>999</v>
      </c>
    </row>
    <row r="727" spans="1:1">
      <c r="A727">
        <v>999</v>
      </c>
    </row>
    <row r="728" spans="1:1">
      <c r="A728">
        <v>0</v>
      </c>
    </row>
    <row r="729" spans="1:1">
      <c r="A729">
        <v>109679</v>
      </c>
    </row>
    <row r="730" spans="1:1">
      <c r="A730">
        <v>1035760</v>
      </c>
    </row>
    <row r="731" spans="1:1">
      <c r="A731">
        <v>999</v>
      </c>
    </row>
    <row r="732" spans="1:1">
      <c r="A732">
        <v>0</v>
      </c>
    </row>
    <row r="733" spans="1:1">
      <c r="A733">
        <v>999</v>
      </c>
    </row>
    <row r="734" spans="1:1">
      <c r="A734">
        <v>3000000</v>
      </c>
    </row>
    <row r="735" spans="1:1">
      <c r="A735">
        <v>0</v>
      </c>
    </row>
    <row r="736" spans="1:1">
      <c r="A736">
        <v>-351198</v>
      </c>
    </row>
    <row r="737" spans="1:1">
      <c r="A737">
        <v>2648802</v>
      </c>
    </row>
    <row r="738" spans="1:1">
      <c r="A738">
        <v>999</v>
      </c>
    </row>
    <row r="739" spans="1:1">
      <c r="A739">
        <v>999</v>
      </c>
    </row>
    <row r="740" spans="1:1">
      <c r="A740">
        <v>999</v>
      </c>
    </row>
    <row r="741" spans="1:1">
      <c r="A741">
        <v>3</v>
      </c>
    </row>
    <row r="742" spans="1:1">
      <c r="A742">
        <v>1455376</v>
      </c>
    </row>
    <row r="743" spans="1:1">
      <c r="A743">
        <v>138767</v>
      </c>
    </row>
    <row r="744" spans="1:1">
      <c r="A744">
        <v>300098</v>
      </c>
    </row>
    <row r="745" spans="1:1">
      <c r="A745">
        <v>1900000</v>
      </c>
    </row>
    <row r="746" spans="1:1">
      <c r="A746">
        <v>999</v>
      </c>
    </row>
    <row r="747" spans="1:1">
      <c r="A747">
        <v>999</v>
      </c>
    </row>
    <row r="748" spans="1:1">
      <c r="A748">
        <v>0</v>
      </c>
    </row>
    <row r="749" spans="1:1">
      <c r="A749">
        <v>109679</v>
      </c>
    </row>
    <row r="750" spans="1:1">
      <c r="A750">
        <v>1035760</v>
      </c>
    </row>
    <row r="751" spans="1:1">
      <c r="A751">
        <v>999</v>
      </c>
    </row>
    <row r="752" spans="1:1">
      <c r="A752">
        <v>0</v>
      </c>
    </row>
    <row r="753" spans="1:1">
      <c r="A753">
        <v>999</v>
      </c>
    </row>
    <row r="754" spans="1:1">
      <c r="A754">
        <v>3000000</v>
      </c>
    </row>
    <row r="755" spans="1:1">
      <c r="A755">
        <v>0</v>
      </c>
    </row>
    <row r="756" spans="1:1">
      <c r="A756">
        <v>-351198</v>
      </c>
    </row>
    <row r="757" spans="1:1">
      <c r="A757">
        <v>2648802</v>
      </c>
    </row>
    <row r="758" spans="1:1">
      <c r="A758">
        <v>999</v>
      </c>
    </row>
    <row r="759" spans="1:1">
      <c r="A759">
        <v>999</v>
      </c>
    </row>
    <row r="760" spans="1:1">
      <c r="A760">
        <v>999</v>
      </c>
    </row>
    <row r="761" spans="1:1">
      <c r="A761">
        <v>4</v>
      </c>
    </row>
    <row r="762" spans="1:1">
      <c r="A762">
        <v>1455376</v>
      </c>
    </row>
    <row r="763" spans="1:1">
      <c r="A763">
        <v>138767</v>
      </c>
    </row>
    <row r="764" spans="1:1">
      <c r="A764">
        <v>300098</v>
      </c>
    </row>
    <row r="765" spans="1:1">
      <c r="A765">
        <v>1900000</v>
      </c>
    </row>
    <row r="766" spans="1:1">
      <c r="A766">
        <v>999</v>
      </c>
    </row>
    <row r="767" spans="1:1">
      <c r="A767">
        <v>999</v>
      </c>
    </row>
    <row r="768" spans="1:1">
      <c r="A768">
        <v>0</v>
      </c>
    </row>
    <row r="769" spans="1:1">
      <c r="A769">
        <v>109679</v>
      </c>
    </row>
    <row r="770" spans="1:1">
      <c r="A770">
        <v>1035760</v>
      </c>
    </row>
    <row r="771" spans="1:1">
      <c r="A771">
        <v>999</v>
      </c>
    </row>
    <row r="772" spans="1:1">
      <c r="A772">
        <v>0</v>
      </c>
    </row>
    <row r="773" spans="1:1">
      <c r="A773">
        <v>999</v>
      </c>
    </row>
    <row r="774" spans="1:1">
      <c r="A774">
        <v>3000000</v>
      </c>
    </row>
    <row r="775" spans="1:1">
      <c r="A775">
        <v>0</v>
      </c>
    </row>
    <row r="776" spans="1:1">
      <c r="A776">
        <v>-351198</v>
      </c>
    </row>
    <row r="777" spans="1:1">
      <c r="A777">
        <v>2648802</v>
      </c>
    </row>
    <row r="778" spans="1:1">
      <c r="A778">
        <v>999</v>
      </c>
    </row>
    <row r="779" spans="1:1">
      <c r="A779">
        <v>999</v>
      </c>
    </row>
    <row r="780" spans="1:1">
      <c r="A780">
        <v>999</v>
      </c>
    </row>
    <row r="781" spans="1:1">
      <c r="A781">
        <v>5</v>
      </c>
    </row>
    <row r="782" spans="1:1">
      <c r="A782">
        <v>1455376</v>
      </c>
    </row>
    <row r="783" spans="1:1">
      <c r="A783">
        <v>138767</v>
      </c>
    </row>
    <row r="784" spans="1:1">
      <c r="A784">
        <v>300098</v>
      </c>
    </row>
    <row r="785" spans="1:1">
      <c r="A785">
        <v>1900000</v>
      </c>
    </row>
    <row r="786" spans="1:1">
      <c r="A786">
        <v>999</v>
      </c>
    </row>
    <row r="787" spans="1:1">
      <c r="A787">
        <v>999</v>
      </c>
    </row>
    <row r="788" spans="1:1">
      <c r="A788">
        <v>0</v>
      </c>
    </row>
    <row r="789" spans="1:1">
      <c r="A789">
        <v>109679</v>
      </c>
    </row>
    <row r="790" spans="1:1">
      <c r="A790">
        <v>1035760</v>
      </c>
    </row>
    <row r="791" spans="1:1">
      <c r="A791">
        <v>999</v>
      </c>
    </row>
    <row r="792" spans="1:1">
      <c r="A792">
        <v>0</v>
      </c>
    </row>
    <row r="793" spans="1:1">
      <c r="A793">
        <v>999</v>
      </c>
    </row>
    <row r="794" spans="1:1">
      <c r="A794">
        <v>3000000</v>
      </c>
    </row>
    <row r="795" spans="1:1">
      <c r="A795">
        <v>0</v>
      </c>
    </row>
    <row r="796" spans="1:1">
      <c r="A796">
        <v>-351198</v>
      </c>
    </row>
    <row r="797" spans="1:1">
      <c r="A797">
        <v>2648802</v>
      </c>
    </row>
    <row r="798" spans="1:1">
      <c r="A798">
        <v>999</v>
      </c>
    </row>
    <row r="799" spans="1:1">
      <c r="A799">
        <v>999</v>
      </c>
    </row>
    <row r="800" spans="1:1">
      <c r="A800">
        <v>999</v>
      </c>
    </row>
    <row r="801" spans="1:1">
      <c r="A801">
        <v>6</v>
      </c>
    </row>
    <row r="802" spans="1:1">
      <c r="A802">
        <v>1455376</v>
      </c>
    </row>
    <row r="803" spans="1:1">
      <c r="A803">
        <v>138767</v>
      </c>
    </row>
    <row r="804" spans="1:1">
      <c r="A804">
        <v>300098</v>
      </c>
    </row>
    <row r="805" spans="1:1">
      <c r="A805">
        <v>1900000</v>
      </c>
    </row>
    <row r="806" spans="1:1">
      <c r="A806">
        <v>999</v>
      </c>
    </row>
    <row r="807" spans="1:1">
      <c r="A807">
        <v>999</v>
      </c>
    </row>
    <row r="808" spans="1:1">
      <c r="A808">
        <v>0</v>
      </c>
    </row>
    <row r="809" spans="1:1">
      <c r="A809">
        <v>109679</v>
      </c>
    </row>
    <row r="810" spans="1:1">
      <c r="A810">
        <v>1035760</v>
      </c>
    </row>
    <row r="811" spans="1:1">
      <c r="A811">
        <v>999</v>
      </c>
    </row>
    <row r="812" spans="1:1">
      <c r="A812">
        <v>0</v>
      </c>
    </row>
    <row r="813" spans="1:1">
      <c r="A813">
        <v>999</v>
      </c>
    </row>
    <row r="814" spans="1:1">
      <c r="A814">
        <v>3000000</v>
      </c>
    </row>
    <row r="815" spans="1:1">
      <c r="A815">
        <v>0</v>
      </c>
    </row>
    <row r="816" spans="1:1">
      <c r="A816">
        <v>-351198</v>
      </c>
    </row>
    <row r="817" spans="1:1">
      <c r="A817">
        <v>2648802</v>
      </c>
    </row>
    <row r="818" spans="1:1">
      <c r="A818">
        <v>999</v>
      </c>
    </row>
    <row r="819" spans="1:1">
      <c r="A819">
        <v>999</v>
      </c>
    </row>
    <row r="820" spans="1:1">
      <c r="A820">
        <v>999</v>
      </c>
    </row>
    <row r="821" spans="1:1">
      <c r="A821">
        <v>7</v>
      </c>
    </row>
    <row r="822" spans="1:1">
      <c r="A822">
        <v>1455376</v>
      </c>
    </row>
    <row r="823" spans="1:1">
      <c r="A823">
        <v>138767</v>
      </c>
    </row>
    <row r="824" spans="1:1">
      <c r="A824">
        <v>300098</v>
      </c>
    </row>
    <row r="825" spans="1:1">
      <c r="A825">
        <v>1900000</v>
      </c>
    </row>
    <row r="826" spans="1:1">
      <c r="A826">
        <v>999</v>
      </c>
    </row>
    <row r="827" spans="1:1">
      <c r="A827">
        <v>999</v>
      </c>
    </row>
    <row r="828" spans="1:1">
      <c r="A828">
        <v>0</v>
      </c>
    </row>
    <row r="829" spans="1:1">
      <c r="A829">
        <v>109679</v>
      </c>
    </row>
    <row r="830" spans="1:1">
      <c r="A830">
        <v>1035760</v>
      </c>
    </row>
    <row r="831" spans="1:1">
      <c r="A831">
        <v>999</v>
      </c>
    </row>
    <row r="832" spans="1:1">
      <c r="A832">
        <v>0</v>
      </c>
    </row>
    <row r="833" spans="1:1">
      <c r="A833">
        <v>999</v>
      </c>
    </row>
    <row r="834" spans="1:1">
      <c r="A834">
        <v>3000000</v>
      </c>
    </row>
    <row r="835" spans="1:1">
      <c r="A835">
        <v>0</v>
      </c>
    </row>
    <row r="836" spans="1:1">
      <c r="A836">
        <v>-351198</v>
      </c>
    </row>
    <row r="837" spans="1:1">
      <c r="A837">
        <v>2648802</v>
      </c>
    </row>
    <row r="838" spans="1:1">
      <c r="A838">
        <v>999</v>
      </c>
    </row>
    <row r="839" spans="1:1">
      <c r="A839">
        <v>999</v>
      </c>
    </row>
    <row r="840" spans="1:1">
      <c r="A840">
        <v>999</v>
      </c>
    </row>
    <row r="841" spans="1:1">
      <c r="A841">
        <v>8</v>
      </c>
    </row>
    <row r="842" spans="1:1">
      <c r="A842">
        <v>1455376</v>
      </c>
    </row>
    <row r="843" spans="1:1">
      <c r="A843">
        <v>138767</v>
      </c>
    </row>
    <row r="844" spans="1:1">
      <c r="A844">
        <v>300098</v>
      </c>
    </row>
    <row r="845" spans="1:1">
      <c r="A845">
        <v>1900000</v>
      </c>
    </row>
    <row r="846" spans="1:1">
      <c r="A846">
        <v>999</v>
      </c>
    </row>
    <row r="847" spans="1:1">
      <c r="A847">
        <v>999</v>
      </c>
    </row>
    <row r="848" spans="1:1">
      <c r="A848">
        <v>0</v>
      </c>
    </row>
    <row r="849" spans="1:1">
      <c r="A849">
        <v>109679</v>
      </c>
    </row>
    <row r="850" spans="1:1">
      <c r="A850">
        <v>1035760</v>
      </c>
    </row>
    <row r="851" spans="1:1">
      <c r="A851">
        <v>999</v>
      </c>
    </row>
    <row r="852" spans="1:1">
      <c r="A852">
        <v>0</v>
      </c>
    </row>
    <row r="853" spans="1:1">
      <c r="A853">
        <v>999</v>
      </c>
    </row>
    <row r="854" spans="1:1">
      <c r="A854">
        <v>3000000</v>
      </c>
    </row>
    <row r="855" spans="1:1">
      <c r="A855">
        <v>0</v>
      </c>
    </row>
    <row r="856" spans="1:1">
      <c r="A856">
        <v>-351198</v>
      </c>
    </row>
    <row r="857" spans="1:1">
      <c r="A857">
        <v>2648802</v>
      </c>
    </row>
    <row r="858" spans="1:1">
      <c r="A858">
        <v>999</v>
      </c>
    </row>
    <row r="859" spans="1:1">
      <c r="A859">
        <v>999</v>
      </c>
    </row>
    <row r="860" spans="1:1">
      <c r="A860">
        <v>999</v>
      </c>
    </row>
    <row r="861" spans="1:1">
      <c r="A861" t="s">
        <v>296</v>
      </c>
    </row>
  </sheetData>
  <phoneticPr fontId="14" type="noConversion"/>
  <pageMargins left="0.74791666666666667" right="0.74791666666666667" top="0.98402777777777783" bottom="0.98402777777777783" header="0.51180555555555562" footer="0.51180555555555562"/>
  <pageSetup firstPageNumber="0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5</vt:i4>
      </vt:variant>
      <vt:variant>
        <vt:lpstr>Именованные диапазоны</vt:lpstr>
      </vt:variant>
      <vt:variant>
        <vt:i4>5</vt:i4>
      </vt:variant>
    </vt:vector>
  </HeadingPairs>
  <TitlesOfParts>
    <vt:vector size="10" baseType="lpstr">
      <vt:lpstr>Ваши решения</vt:lpstr>
      <vt:lpstr>Ресурсы и продукты</vt:lpstr>
      <vt:lpstr>Финансовая отчетность</vt:lpstr>
      <vt:lpstr>Информация о группе</vt:lpstr>
      <vt:lpstr>W</vt:lpstr>
      <vt:lpstr>W!_W012133</vt:lpstr>
      <vt:lpstr>'Ваши решения'!Область_печати</vt:lpstr>
      <vt:lpstr>'Информация о группе'!Область_печати</vt:lpstr>
      <vt:lpstr>'Ресурсы и продукты'!Область_печати</vt:lpstr>
      <vt:lpstr>'Финансовая отчетность'!Область_печати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Bill</dc:creator>
  <cp:lastModifiedBy>IORSI-8</cp:lastModifiedBy>
  <cp:revision>1</cp:revision>
  <cp:lastPrinted>2015-06-10T13:52:25Z</cp:lastPrinted>
  <dcterms:created xsi:type="dcterms:W3CDTF">2009-10-13T08:17:42Z</dcterms:created>
  <dcterms:modified xsi:type="dcterms:W3CDTF">2026-04-07T15:16:28Z</dcterms:modified>
</cp:coreProperties>
</file>