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аши решения" sheetId="1" state="visible" r:id="rId3"/>
    <sheet name="Ресурсы и продукты" sheetId="2" state="visible" r:id="rId4"/>
    <sheet name="Финансовая отчетность" sheetId="3" state="visible" r:id="rId5"/>
    <sheet name="Информация о группе" sheetId="4" state="visible" r:id="rId6"/>
    <sheet name="W" sheetId="5" state="visible" r:id="rId7"/>
  </sheets>
  <definedNames>
    <definedName function="false" hidden="false" localSheetId="0" name="_xlnm.Print_Area" vbProcedure="false">'Ваши решения'!$A$1:$Y$38</definedName>
    <definedName function="false" hidden="false" localSheetId="3" name="_xlnm.Print_Area" vbProcedure="false">'Информация о группе'!$A$1:$N$114</definedName>
    <definedName function="false" hidden="false" localSheetId="1" name="_xlnm.Print_Area" vbProcedure="false">'Ресурсы и продукты'!$A$1:$AA$48</definedName>
    <definedName function="false" hidden="false" localSheetId="2" name="_xlnm.Print_Area" vbProcedure="false">'Финансовая отчетность'!$A$1:$Y$39</definedName>
    <definedName function="false" hidden="false" name="WHStest_6" vbProcedure="false">w!#ref!</definedName>
    <definedName function="false" hidden="false" localSheetId="4" name="_W012133" vbProcedure="false">W!$A$1:$B$865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0" interval="0" name="W012133" type="6" reconnectionMethod="1" refreshedVersion="4" minRefreshableVersion="0" savePassword="0" new="0" deleted="0" onlyUseConnectionFile="0" background="1" refreshOnLoad="0" saveData="1">
    <textPr prompt="0" codePage="850" sourceFile="C:\GMC\IVANOVOFINAL_12C3\RUN_12C3\Wfiles\133\W012133.txt" decimal=",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<sst xmlns="http://schemas.openxmlformats.org/spreadsheetml/2006/main" count="552" uniqueCount="344">
  <si>
    <t xml:space="preserve">Управленческий отчёт</t>
  </si>
  <si>
    <t xml:space="preserve">Код:</t>
  </si>
  <si>
    <t xml:space="preserve">Компания</t>
  </si>
  <si>
    <t xml:space="preserve">Группа</t>
  </si>
  <si>
    <t xml:space="preserve"> ПРОВЕРЬТЕ …</t>
  </si>
  <si>
    <t xml:space="preserve">Решения</t>
  </si>
  <si>
    <t xml:space="preserve">Год</t>
  </si>
  <si>
    <t xml:space="preserve">Кв</t>
  </si>
  <si>
    <t xml:space="preserve"> </t>
  </si>
  <si>
    <t xml:space="preserve">Имидж</t>
  </si>
  <si>
    <t xml:space="preserve">Продукт</t>
  </si>
  <si>
    <t xml:space="preserve">Через</t>
  </si>
  <si>
    <t xml:space="preserve">Вознагр.</t>
  </si>
  <si>
    <t xml:space="preserve">Комис.</t>
  </si>
  <si>
    <t xml:space="preserve">Реклама (тыс. ерз.):</t>
  </si>
  <si>
    <t xml:space="preserve">Агенты и дистрибьюторы:</t>
  </si>
  <si>
    <t xml:space="preserve">квартал</t>
  </si>
  <si>
    <t xml:space="preserve"> (тыс. ерз.)</t>
  </si>
  <si>
    <t xml:space="preserve">%</t>
  </si>
  <si>
    <t xml:space="preserve">ЕАЭС</t>
  </si>
  <si>
    <t xml:space="preserve">Агенты в ЕАЭС</t>
  </si>
  <si>
    <t xml:space="preserve">АСЕАН</t>
  </si>
  <si>
    <t xml:space="preserve">Дистрибьюторы АСЕАН</t>
  </si>
  <si>
    <t xml:space="preserve">Интернет</t>
  </si>
  <si>
    <t xml:space="preserve">Интернет-агент</t>
  </si>
  <si>
    <t xml:space="preserve">Цены (ерз.):</t>
  </si>
  <si>
    <t xml:space="preserve">Операционная деятельность:</t>
  </si>
  <si>
    <t xml:space="preserve">Заказано сырья (тыс.шт.)</t>
  </si>
  <si>
    <t xml:space="preserve">СПОТ</t>
  </si>
  <si>
    <t xml:space="preserve">3 мес.</t>
  </si>
  <si>
    <t xml:space="preserve">6 мес.</t>
  </si>
  <si>
    <t xml:space="preserve">Время на ТО 1 станка (час)</t>
  </si>
  <si>
    <t xml:space="preserve">Кол-во рабочих смен</t>
  </si>
  <si>
    <t xml:space="preserve">Кол-во Интернет-портов</t>
  </si>
  <si>
    <t xml:space="preserve">Развитие сайта (тыс. ерз.)</t>
  </si>
  <si>
    <t xml:space="preserve">Количество произведённой и отгруженной продукции (шт.):</t>
  </si>
  <si>
    <t xml:space="preserve">Управление персоналом</t>
  </si>
  <si>
    <t xml:space="preserve">Сборщики: Нанять (+) / Увол. (-) </t>
  </si>
  <si>
    <t xml:space="preserve">Повыш. Квалификации</t>
  </si>
  <si>
    <t xml:space="preserve">Часовая зарплата сборщика</t>
  </si>
  <si>
    <t xml:space="preserve">Управленческий бюджет (тыс.ерз.)</t>
  </si>
  <si>
    <t xml:space="preserve">Тренинги (дней)</t>
  </si>
  <si>
    <t xml:space="preserve">(доставлен не полностью, если пометка *) </t>
  </si>
  <si>
    <t xml:space="preserve">Качество продукции:</t>
  </si>
  <si>
    <t xml:space="preserve">Финансы:</t>
  </si>
  <si>
    <t xml:space="preserve">Внедрить новые разработки (1;0)</t>
  </si>
  <si>
    <t xml:space="preserve">Эмиссия/Выкуп акций</t>
  </si>
  <si>
    <t xml:space="preserve">Дивиденды (в %)</t>
  </si>
  <si>
    <t xml:space="preserve">Вложения в НИОКР (тыс.ерз.)</t>
  </si>
  <si>
    <t xml:space="preserve">Срочные кредиты (тыс. ерз.)</t>
  </si>
  <si>
    <t xml:space="preserve">Срочный депозит (т. ерз.)</t>
  </si>
  <si>
    <t xml:space="preserve">Время сборки (минуты)</t>
  </si>
  <si>
    <t xml:space="preserve">Покупка станков (шт.)</t>
  </si>
  <si>
    <t xml:space="preserve">Продажа станков (шт.)</t>
  </si>
  <si>
    <t xml:space="preserve">Премиальные материалы (%)</t>
  </si>
  <si>
    <t xml:space="preserve">Расширение цеха (кв. м.)</t>
  </si>
  <si>
    <t xml:space="preserve">Страховой план</t>
  </si>
  <si>
    <t xml:space="preserve">Аутсорсинг:</t>
  </si>
  <si>
    <t xml:space="preserve">Информация:</t>
  </si>
  <si>
    <t xml:space="preserve">Заказанные полуфабрикаты (шт.)</t>
  </si>
  <si>
    <t xml:space="preserve">О долях рынка</t>
  </si>
  <si>
    <t xml:space="preserve">О дея-ти конкурентов</t>
  </si>
  <si>
    <t xml:space="preserve">The Global Management Challenge is a business simulation designed by Edit Systems Ltd. (www.edit515.co.uk) and organised by SDG S.A.  (www.worldgmc.com)
World Copyright © 2013 - EDIT 515 Ltd, UK and SDG - Simuladores e Modelos de Gestão, S.A.
Адаптировано Президентской Академией (РАНХиГС) для использования в России и СНГ</t>
  </si>
  <si>
    <t xml:space="preserve">   Компания</t>
  </si>
  <si>
    <t xml:space="preserve">Ресурсы и продукты</t>
  </si>
  <si>
    <t xml:space="preserve">Использование материальных ресурсов</t>
  </si>
  <si>
    <t xml:space="preserve">Человеческие ресурсы:</t>
  </si>
  <si>
    <t xml:space="preserve">Движение товара:</t>
  </si>
  <si>
    <t xml:space="preserve">Продукт 1</t>
  </si>
  <si>
    <t xml:space="preserve">Продукт 2</t>
  </si>
  <si>
    <t xml:space="preserve">Продукт 3</t>
  </si>
  <si>
    <t xml:space="preserve">Количество продукции:</t>
  </si>
  <si>
    <t xml:space="preserve">Пространство:</t>
  </si>
  <si>
    <t xml:space="preserve">Кв. м.</t>
  </si>
  <si>
    <t xml:space="preserve">Движение персонала:</t>
  </si>
  <si>
    <t xml:space="preserve">Сборщики</t>
  </si>
  <si>
    <t xml:space="preserve">Механики</t>
  </si>
  <si>
    <t xml:space="preserve">  Запланировано</t>
  </si>
  <si>
    <t xml:space="preserve">  Земля в собственности</t>
  </si>
  <si>
    <t xml:space="preserve">  На начало прош. квартала</t>
  </si>
  <si>
    <t xml:space="preserve">  Произведено</t>
  </si>
  <si>
    <t xml:space="preserve">   Инфраструктурные объекты</t>
  </si>
  <si>
    <t xml:space="preserve">  рекрутировано</t>
  </si>
  <si>
    <t xml:space="preserve">  Брак</t>
  </si>
  <si>
    <t xml:space="preserve">   Располагаемая площадь</t>
  </si>
  <si>
    <t xml:space="preserve">  Обучено</t>
  </si>
  <si>
    <t xml:space="preserve">  Потеряно/уничтожено</t>
  </si>
  <si>
    <t xml:space="preserve">  Размер цеха в след. квартале</t>
  </si>
  <si>
    <t xml:space="preserve">  Уволено</t>
  </si>
  <si>
    <t xml:space="preserve">   Инфраструктура цеха</t>
  </si>
  <si>
    <t xml:space="preserve">  Увол. по собств. желанию</t>
  </si>
  <si>
    <t xml:space="preserve">Отгружено:</t>
  </si>
  <si>
    <t xml:space="preserve">   Изготовление деталей</t>
  </si>
  <si>
    <t xml:space="preserve">  Доступно на нач.след.кв.</t>
  </si>
  <si>
    <t xml:space="preserve">  Агентам в ЕАЭС</t>
  </si>
  <si>
    <t xml:space="preserve">   Сборка</t>
  </si>
  <si>
    <t xml:space="preserve">  Дистрибьюторам АСЕАН</t>
  </si>
  <si>
    <t xml:space="preserve">   Складирование</t>
  </si>
  <si>
    <t xml:space="preserve">  Интернет-агенту</t>
  </si>
  <si>
    <t xml:space="preserve">   Свободная площадь (+/-):</t>
  </si>
  <si>
    <t xml:space="preserve">Сборщики:</t>
  </si>
  <si>
    <t xml:space="preserve">Часы</t>
  </si>
  <si>
    <t xml:space="preserve">  Доступно часов работы в прош.кв</t>
  </si>
  <si>
    <t xml:space="preserve">Заказы из:</t>
  </si>
  <si>
    <t xml:space="preserve">Станки:</t>
  </si>
  <si>
    <t xml:space="preserve">Количество</t>
  </si>
  <si>
    <t xml:space="preserve">  Общее время отсутствия/болезни</t>
  </si>
  <si>
    <t xml:space="preserve">  ЕАЭС</t>
  </si>
  <si>
    <t xml:space="preserve">  Выведено из эксплуатации</t>
  </si>
  <si>
    <t xml:space="preserve">  Фактически отработано часов</t>
  </si>
  <si>
    <t xml:space="preserve">  АСЕАН</t>
  </si>
  <si>
    <t xml:space="preserve">  Использовалось в прош. квартале</t>
  </si>
  <si>
    <t xml:space="preserve">Недели</t>
  </si>
  <si>
    <t xml:space="preserve">  Интернет</t>
  </si>
  <si>
    <t xml:space="preserve">  Куплено и установлено</t>
  </si>
  <si>
    <t xml:space="preserve">  Уведомл. о забастовках в след.кв-ле</t>
  </si>
  <si>
    <t xml:space="preserve">  Доступно для след. квартала</t>
  </si>
  <si>
    <t xml:space="preserve">Продано в:</t>
  </si>
  <si>
    <t xml:space="preserve">Доступных часов работы в прош.кв.</t>
  </si>
  <si>
    <r>
      <rPr>
        <sz val="9"/>
        <rFont val="Arial Unicode MS"/>
        <family val="2"/>
        <charset val="1"/>
      </rPr>
      <t xml:space="preserve">  </t>
    </r>
    <r>
      <rPr>
        <sz val="9"/>
        <rFont val="Arial"/>
        <family val="2"/>
        <charset val="1"/>
      </rPr>
      <t xml:space="preserve">АСЕАН</t>
    </r>
  </si>
  <si>
    <t xml:space="preserve">  Часов простоя станков</t>
  </si>
  <si>
    <t xml:space="preserve">  Отработано часов в прош. кв.</t>
  </si>
  <si>
    <t xml:space="preserve">Движение агентов:</t>
  </si>
  <si>
    <t xml:space="preserve">  Часы запланированного техосмотра </t>
  </si>
  <si>
    <t xml:space="preserve">Доступные в прош.кв.</t>
  </si>
  <si>
    <t xml:space="preserve">Долги по поставкам:</t>
  </si>
  <si>
    <t xml:space="preserve">  Средняя эффективность станка %</t>
  </si>
  <si>
    <t xml:space="preserve">Покинули компанию</t>
  </si>
  <si>
    <t xml:space="preserve">Уволены в прошл.кв.</t>
  </si>
  <si>
    <t xml:space="preserve">Материалы:</t>
  </si>
  <si>
    <t xml:space="preserve">Нанятые для след.кв.</t>
  </si>
  <si>
    <t xml:space="preserve">  Остатки сырья на начало периода</t>
  </si>
  <si>
    <t xml:space="preserve">Доступно в след.кв.</t>
  </si>
  <si>
    <t xml:space="preserve">Склады:</t>
  </si>
  <si>
    <t xml:space="preserve">   Закуплено сырья в прош. кв.</t>
  </si>
  <si>
    <t xml:space="preserve">   Закуплено автоматически</t>
  </si>
  <si>
    <t xml:space="preserve">   Потеряно/уничтожено</t>
  </si>
  <si>
    <t xml:space="preserve">   Использовано сырья</t>
  </si>
  <si>
    <t xml:space="preserve">  Остатки сырья на конец прош. кв.</t>
  </si>
  <si>
    <t xml:space="preserve">Траспорт:</t>
  </si>
  <si>
    <t xml:space="preserve">  Будет доставлено в след. квартале:</t>
  </si>
  <si>
    <t xml:space="preserve">Сред.километраж</t>
  </si>
  <si>
    <t xml:space="preserve">Обслужено по</t>
  </si>
  <si>
    <t xml:space="preserve">     Купленного в прошлом квартале</t>
  </si>
  <si>
    <t xml:space="preserve">Кол-во отгрузок</t>
  </si>
  <si>
    <t xml:space="preserve">гарантии</t>
  </si>
  <si>
    <t xml:space="preserve">     Купленного 2 квартала назад</t>
  </si>
  <si>
    <t xml:space="preserve">  Будет доставлено через один квартал:</t>
  </si>
  <si>
    <t xml:space="preserve">Новые разработки</t>
  </si>
  <si>
    <t xml:space="preserve">Интернет-статистика:</t>
  </si>
  <si>
    <t xml:space="preserve">Полуфабрикаты:</t>
  </si>
  <si>
    <t xml:space="preserve">  Количество действующих портов</t>
  </si>
  <si>
    <t xml:space="preserve">Углеродный след (CO2e):</t>
  </si>
  <si>
    <t xml:space="preserve">Тонны</t>
  </si>
  <si>
    <t xml:space="preserve"> Использовано в сборке</t>
  </si>
  <si>
    <t xml:space="preserve">  Успешные посещения сайта</t>
  </si>
  <si>
    <t xml:space="preserve">  Отопление и освещение цеха</t>
  </si>
  <si>
    <t xml:space="preserve"> Заказано в прошл. кв.</t>
  </si>
  <si>
    <t xml:space="preserve">  % незашедших посетителей</t>
  </si>
  <si>
    <t xml:space="preserve">  Энергия для производства</t>
  </si>
  <si>
    <t xml:space="preserve"> Остатки на конец кв.</t>
  </si>
  <si>
    <t xml:space="preserve">  Кол-во жалоб</t>
  </si>
  <si>
    <t xml:space="preserve">Итого первичный CO2e</t>
  </si>
  <si>
    <t xml:space="preserve"> Доступно для сборки</t>
  </si>
  <si>
    <t xml:space="preserve">Финансовая отчётность</t>
  </si>
  <si>
    <t xml:space="preserve">ФИНАНСОВАЯ ОТЧЁТНОСТЬ</t>
  </si>
  <si>
    <t xml:space="preserve">(ерз. )</t>
  </si>
  <si>
    <t xml:space="preserve">ОТЧЁТ О ДВИЖЕНИИ </t>
  </si>
  <si>
    <t xml:space="preserve">НАКЛАДНЫЕ РАСХОДЫ</t>
  </si>
  <si>
    <t xml:space="preserve">ОТЧЁТ О ПРИБЫЛЯХ И УБЫТКАХ</t>
  </si>
  <si>
    <t xml:space="preserve">БАЛАНС КОМПАНИИ</t>
  </si>
  <si>
    <t xml:space="preserve">ДЕНЕЖНЫХ СРЕДСТВ</t>
  </si>
  <si>
    <t xml:space="preserve">  Реклама</t>
  </si>
  <si>
    <t xml:space="preserve">Выручка от реализации</t>
  </si>
  <si>
    <t xml:space="preserve">Внеоборотные активы:</t>
  </si>
  <si>
    <r>
      <rPr>
        <sz val="8"/>
        <rFont val="Arial Unicode MS"/>
        <family val="2"/>
        <charset val="1"/>
      </rPr>
      <t xml:space="preserve">  </t>
    </r>
    <r>
      <rPr>
        <sz val="8"/>
        <rFont val="Arial"/>
        <family val="2"/>
        <charset val="1"/>
      </rPr>
      <t xml:space="preserve">Интернет-агент</t>
    </r>
  </si>
  <si>
    <t xml:space="preserve">  Стоимость земли</t>
  </si>
  <si>
    <t xml:space="preserve">  Поступления от продаж</t>
  </si>
  <si>
    <t xml:space="preserve">  Интернет-провайдер</t>
  </si>
  <si>
    <t xml:space="preserve">  Складские ост. на начало кв.</t>
  </si>
  <si>
    <t xml:space="preserve">  Стоимость построек</t>
  </si>
  <si>
    <t xml:space="preserve">  Страховые поступления</t>
  </si>
  <si>
    <t xml:space="preserve">  Агенты и дистрибьюторы</t>
  </si>
  <si>
    <t xml:space="preserve">  Закупленные полуфабрикаты</t>
  </si>
  <si>
    <t xml:space="preserve">  Стоимость оборудования</t>
  </si>
  <si>
    <t xml:space="preserve">  Платежи по операц. деят-ти</t>
  </si>
  <si>
    <t xml:space="preserve">  Офис продаж</t>
  </si>
  <si>
    <t xml:space="preserve">  Закупленное сырье</t>
  </si>
  <si>
    <t xml:space="preserve">Всего внеоборотных активов</t>
  </si>
  <si>
    <t xml:space="preserve">  Уплаченные налоги</t>
  </si>
  <si>
    <t xml:space="preserve">  Гарантийное обслуживание</t>
  </si>
  <si>
    <t xml:space="preserve">  Затраты на эксплуатацию станков</t>
  </si>
  <si>
    <t xml:space="preserve">Ден. поток по операц. деят-ти</t>
  </si>
  <si>
    <t xml:space="preserve">  Исследования и разработки</t>
  </si>
  <si>
    <t xml:space="preserve">  Зарплаты механиков</t>
  </si>
  <si>
    <t xml:space="preserve">Оборотные активы:</t>
  </si>
  <si>
    <t xml:space="preserve">  Развитие веб-сайта</t>
  </si>
  <si>
    <t xml:space="preserve">  Зарплаты сборщиков</t>
  </si>
  <si>
    <t xml:space="preserve">  Ст-ть товарных запасов</t>
  </si>
  <si>
    <t xml:space="preserve">Инвестиционная деятельность:</t>
  </si>
  <si>
    <t xml:space="preserve">  Отдел персонала</t>
  </si>
  <si>
    <t xml:space="preserve">  Контроль качества</t>
  </si>
  <si>
    <t xml:space="preserve">  Ст-ть запасов полуфабр.</t>
  </si>
  <si>
    <t xml:space="preserve">  Полученный процент</t>
  </si>
  <si>
    <t xml:space="preserve">  Техобслуживание оборудов.</t>
  </si>
  <si>
    <t xml:space="preserve">  Аренда транспорта</t>
  </si>
  <si>
    <t xml:space="preserve">  Стоимость запасов сырья</t>
  </si>
  <si>
    <t xml:space="preserve">  Активов продано</t>
  </si>
  <si>
    <t xml:space="preserve">  Складирование и закупка</t>
  </si>
  <si>
    <t xml:space="preserve">  Складские ост. на конец кв.</t>
  </si>
  <si>
    <t xml:space="preserve">  Дебиторская задолженность</t>
  </si>
  <si>
    <t xml:space="preserve">  Активов куплено</t>
  </si>
  <si>
    <t xml:space="preserve">  Расходы на маркет.исслед.</t>
  </si>
  <si>
    <t xml:space="preserve">Затраты на пр-во и реал. пр.</t>
  </si>
  <si>
    <t xml:space="preserve">  Денежные ср-ва и их экв-ты</t>
  </si>
  <si>
    <t xml:space="preserve">Ден. поток по инвест. деят-ти</t>
  </si>
  <si>
    <t xml:space="preserve">  Кредитный контроль</t>
  </si>
  <si>
    <t xml:space="preserve">Валовая прибыль/убыток</t>
  </si>
  <si>
    <t xml:space="preserve">Итого оборотные активы</t>
  </si>
  <si>
    <t xml:space="preserve">  Страховая премия</t>
  </si>
  <si>
    <t xml:space="preserve">  Накладные расходы</t>
  </si>
  <si>
    <t xml:space="preserve">Итого активы</t>
  </si>
  <si>
    <t xml:space="preserve">Финансовая деятельность:</t>
  </si>
  <si>
    <t xml:space="preserve">  Управленческий бюджет</t>
  </si>
  <si>
    <t xml:space="preserve">  Акций выпущено</t>
  </si>
  <si>
    <t xml:space="preserve">  Прочие издержки</t>
  </si>
  <si>
    <t xml:space="preserve">  Амортизация</t>
  </si>
  <si>
    <t xml:space="preserve">Обязательства:</t>
  </si>
  <si>
    <t xml:space="preserve">  Акций выкуплено</t>
  </si>
  <si>
    <t xml:space="preserve">Итого накладные расходы</t>
  </si>
  <si>
    <t xml:space="preserve">Операц. прибыль/убыток</t>
  </si>
  <si>
    <t xml:space="preserve">  Задолженность по налогам</t>
  </si>
  <si>
    <t xml:space="preserve">  Дивиденды</t>
  </si>
  <si>
    <r>
      <rPr>
        <sz val="8"/>
        <rFont val="Arial Unicode MS"/>
        <family val="2"/>
        <charset val="1"/>
      </rPr>
      <t xml:space="preserve">  </t>
    </r>
    <r>
      <rPr>
        <sz val="8"/>
        <rFont val="Arial"/>
        <family val="2"/>
        <charset val="1"/>
      </rPr>
      <t xml:space="preserve">Кредиторская задолженность</t>
    </r>
  </si>
  <si>
    <t xml:space="preserve">  Доп. срочные кредиты</t>
  </si>
  <si>
    <t xml:space="preserve">Налогообл. прибыль/убыток (накопл.):</t>
  </si>
  <si>
    <t xml:space="preserve">  Уплаченный процент</t>
  </si>
  <si>
    <t xml:space="preserve">  Банковский овердрафт</t>
  </si>
  <si>
    <t xml:space="preserve">  Прибыль до налогообложения</t>
  </si>
  <si>
    <t xml:space="preserve">Прибыль/убыток до налогообл.</t>
  </si>
  <si>
    <t xml:space="preserve">Краткосрочные обязательства</t>
  </si>
  <si>
    <t xml:space="preserve">Ден. поток по фин. деят-ти</t>
  </si>
  <si>
    <t xml:space="preserve">  Налогообл. приб. в прош. кв.</t>
  </si>
  <si>
    <t xml:space="preserve">  Налоги начисленные</t>
  </si>
  <si>
    <t xml:space="preserve">Срочные кредиты</t>
  </si>
  <si>
    <t xml:space="preserve">  Налогооблагаемая прибыль</t>
  </si>
  <si>
    <t xml:space="preserve">Прибыль за отчётный период</t>
  </si>
  <si>
    <t xml:space="preserve">Чистый денежный поток</t>
  </si>
  <si>
    <t xml:space="preserve">Прибыль на акцию (копеек)</t>
  </si>
  <si>
    <t xml:space="preserve">Чистые активы</t>
  </si>
  <si>
    <t xml:space="preserve">Нал. ср-ва в позапрош. кв.</t>
  </si>
  <si>
    <t xml:space="preserve">Наличные средства</t>
  </si>
  <si>
    <t xml:space="preserve">Дивиденды</t>
  </si>
  <si>
    <t xml:space="preserve">Собственный капитал:</t>
  </si>
  <si>
    <t xml:space="preserve">(включая срочный депозит  -</t>
  </si>
  <si>
    <t xml:space="preserve">)</t>
  </si>
  <si>
    <t xml:space="preserve">Иски к страховой компании</t>
  </si>
  <si>
    <t xml:space="preserve">Перенесено в нераспр.приб.</t>
  </si>
  <si>
    <t xml:space="preserve">  Акционерный капитал</t>
  </si>
  <si>
    <t xml:space="preserve">Безусловная франшиза</t>
  </si>
  <si>
    <t xml:space="preserve">Нераспр. приб. в предпосл.кв.</t>
  </si>
  <si>
    <t xml:space="preserve">  Счёт премий на акции</t>
  </si>
  <si>
    <t xml:space="preserve">Лимит овердрафта на след.кв.</t>
  </si>
  <si>
    <t xml:space="preserve">Нераспределенная прибыль</t>
  </si>
  <si>
    <t xml:space="preserve">  Нераспределённая прибыль</t>
  </si>
  <si>
    <t xml:space="preserve">Кредитоспособность</t>
  </si>
  <si>
    <t xml:space="preserve">Итого капитал</t>
  </si>
  <si>
    <t xml:space="preserve">Информация о группе стр. 1</t>
  </si>
  <si>
    <t xml:space="preserve">ЭКОНОМИЧЕСКАЯ ИНФОРМАЦИЯ</t>
  </si>
  <si>
    <t xml:space="preserve">   Остальной мир</t>
  </si>
  <si>
    <r>
      <rPr>
        <sz val="9"/>
        <rFont val="Arial Unicode MS"/>
        <family val="2"/>
        <charset val="1"/>
      </rPr>
      <t xml:space="preserve">  </t>
    </r>
    <r>
      <rPr>
        <sz val="9"/>
        <rFont val="Arial"/>
        <family val="2"/>
        <charset val="1"/>
      </rPr>
      <t xml:space="preserve">Валовый внутренний продукт (ВВП)</t>
    </r>
  </si>
  <si>
    <r>
      <rPr>
        <sz val="9"/>
        <rFont val="Arial Unicode MS"/>
        <family val="2"/>
        <charset val="1"/>
      </rPr>
      <t xml:space="preserve">  </t>
    </r>
    <r>
      <rPr>
        <sz val="9"/>
        <rFont val="Arial"/>
        <family val="2"/>
        <charset val="1"/>
      </rPr>
      <t xml:space="preserve">Уровень безработицы (в %)</t>
    </r>
  </si>
  <si>
    <t xml:space="preserve">  Внешнеторговый баланс</t>
  </si>
  <si>
    <t xml:space="preserve">Информация о следующем квартале:</t>
  </si>
  <si>
    <r>
      <rPr>
        <sz val="9"/>
        <rFont val="Arial Unicode MS"/>
        <family val="2"/>
        <charset val="1"/>
      </rPr>
      <t xml:space="preserve">  </t>
    </r>
    <r>
      <rPr>
        <sz val="9"/>
        <rFont val="Arial"/>
        <family val="2"/>
        <charset val="1"/>
      </rPr>
      <t xml:space="preserve">Годовая проц. ставка ЦБ на сл. кв. (в %)</t>
    </r>
  </si>
  <si>
    <t xml:space="preserve">    Курс ерз. к доллару (ерз./$)</t>
  </si>
  <si>
    <t xml:space="preserve">  Цена строительства (ерз./кв.м.)</t>
  </si>
  <si>
    <t xml:space="preserve">  Цена полуфабрикатов (ерз./шт.)</t>
  </si>
  <si>
    <t xml:space="preserve">   от (без премиальных материалов)</t>
  </si>
  <si>
    <t xml:space="preserve">   до (100% премиальных материалов)</t>
  </si>
  <si>
    <t xml:space="preserve">  Цена обычного сырья (долларов за 1000 шт.)</t>
  </si>
  <si>
    <t xml:space="preserve">БИЗНЕС-АНАЛИТИКА:</t>
  </si>
  <si>
    <t xml:space="preserve">БЕСПЛАТНАЯ ИНФОРМАЦИЯ</t>
  </si>
  <si>
    <t xml:space="preserve">Фондовый рынок:</t>
  </si>
  <si>
    <t xml:space="preserve">  Цена акций (в евразцентах)</t>
  </si>
  <si>
    <t xml:space="preserve">  Рыночная стоимость (ерз.)</t>
  </si>
  <si>
    <t xml:space="preserve">  Дивиденды (в %)</t>
  </si>
  <si>
    <t xml:space="preserve">  Инвест. привлекательность</t>
  </si>
  <si>
    <t xml:space="preserve">Отчёт о деятельности конкурентов:</t>
  </si>
  <si>
    <t xml:space="preserve"> Цены на продукцию (ерз.)</t>
  </si>
  <si>
    <t xml:space="preserve">  Продукт 1:  ЕАЭС</t>
  </si>
  <si>
    <t xml:space="preserve">       </t>
  </si>
  <si>
    <t xml:space="preserve">  Продукт 2:  ЕАЭС</t>
  </si>
  <si>
    <t xml:space="preserve">  Продукт 3:  ЕАЭС</t>
  </si>
  <si>
    <t xml:space="preserve">  Производственный персонал</t>
  </si>
  <si>
    <r>
      <rPr>
        <sz val="9"/>
        <rFont val="Arial Unicode MS"/>
        <family val="2"/>
        <charset val="1"/>
      </rPr>
      <t xml:space="preserve">  </t>
    </r>
    <r>
      <rPr>
        <sz val="9"/>
        <rFont val="Arial"/>
        <family val="2"/>
        <charset val="1"/>
      </rPr>
      <t xml:space="preserve">Зарплата сборщиков (ерзцент./час)</t>
    </r>
  </si>
  <si>
    <t xml:space="preserve">  Кол-во агентов и дистриб.</t>
  </si>
  <si>
    <t xml:space="preserve">Информация о группе стр. 2</t>
  </si>
  <si>
    <t xml:space="preserve">БАЛАНСЫ КОМПАНИЙ</t>
  </si>
  <si>
    <t xml:space="preserve">            Компания:</t>
  </si>
  <si>
    <t xml:space="preserve">Активы</t>
  </si>
  <si>
    <t xml:space="preserve"> Внеоборотные активы</t>
  </si>
  <si>
    <t xml:space="preserve"> Материальные запасы</t>
  </si>
  <si>
    <t xml:space="preserve"> Дебиторская задолженность</t>
  </si>
  <si>
    <t xml:space="preserve"> Деньги и их эквиваленты</t>
  </si>
  <si>
    <t xml:space="preserve">Обязательства</t>
  </si>
  <si>
    <t xml:space="preserve"> Задолженность по налогам</t>
  </si>
  <si>
    <t xml:space="preserve"> Кредиторская задолженность</t>
  </si>
  <si>
    <t xml:space="preserve"> Овердрафт</t>
  </si>
  <si>
    <t xml:space="preserve"> Долгосрочные кредиты</t>
  </si>
  <si>
    <t xml:space="preserve">Собственный капитал</t>
  </si>
  <si>
    <t xml:space="preserve"> Акционерный капитал</t>
  </si>
  <si>
    <t xml:space="preserve"> Счёт премий на акции</t>
  </si>
  <si>
    <t xml:space="preserve"> Нераспределённая прибыль</t>
  </si>
  <si>
    <t xml:space="preserve">ПЛАТНАЯ ИНФОРМАЦИЯ</t>
  </si>
  <si>
    <t xml:space="preserve">      Компания:</t>
  </si>
  <si>
    <t xml:space="preserve">Доли рынка (%) по проданным товарам</t>
  </si>
  <si>
    <t xml:space="preserve">  Продукт 1:  ЕАЭС     </t>
  </si>
  <si>
    <t xml:space="preserve">Отчёт о деятельности конкурентов</t>
  </si>
  <si>
    <t xml:space="preserve">    Компания:</t>
  </si>
  <si>
    <t xml:space="preserve">  Общ. затраты на рекламу (ерз.)</t>
  </si>
  <si>
    <t xml:space="preserve">  Общ. затраты на НИОКР (ерз.)</t>
  </si>
  <si>
    <t xml:space="preserve">  Оценки потребителей:</t>
  </si>
  <si>
    <t xml:space="preserve">     Продукт 1</t>
  </si>
  <si>
    <t xml:space="preserve">     Продукт 2</t>
  </si>
  <si>
    <t xml:space="preserve">     Продукт 3</t>
  </si>
  <si>
    <t xml:space="preserve">     Веб-сайт </t>
  </si>
  <si>
    <t xml:space="preserve">  26C1</t>
  </si>
  <si>
    <t xml:space="preserve">*</t>
  </si>
  <si>
    <t xml:space="preserve">   1.85</t>
  </si>
  <si>
    <t xml:space="preserve">   2.63</t>
  </si>
  <si>
    <t xml:space="preserve">   1.68</t>
  </si>
  <si>
    <t xml:space="preserve">!</t>
  </si>
  <si>
    <t xml:space="preserve">Major</t>
  </si>
  <si>
    <t xml:space="preserve">Minor</t>
  </si>
  <si>
    <t xml:space="preserve"> 95.2</t>
  </si>
  <si>
    <t xml:space="preserve">Not requested</t>
  </si>
  <si>
    <t xml:space="preserve">   **</t>
  </si>
  <si>
    <t xml:space="preserve">  ***</t>
  </si>
  <si>
    <t xml:space="preserve"> Free info</t>
  </si>
  <si>
    <t xml:space="preserve">Если компания хочет расширяться и увеличивать свою долю на рынке,</t>
  </si>
  <si>
    <t xml:space="preserve">ей необходимы выдающиеся лидерские качества в сочетании с хорошим обслуживанием</t>
  </si>
  <si>
    <t xml:space="preserve">клиентов и финансовыми знаниями.</t>
  </si>
  <si>
    <t xml:space="preserve"> This is a history quarter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</si>
</sst>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%"/>
    <numFmt numFmtId="166" formatCode="@"/>
    <numFmt numFmtId="167" formatCode="0;\-0;;@"/>
    <numFmt numFmtId="168" formatCode="0"/>
    <numFmt numFmtId="169" formatCode="0.0"/>
    <numFmt numFmtId="170" formatCode="0.00"/>
    <numFmt numFmtId="171" formatCode="#"/>
    <numFmt numFmtId="172" formatCode="0;\-;;@"/>
    <numFmt numFmtId="173" formatCode="#,##0"/>
  </numFmts>
  <fonts count="2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04"/>
    </font>
    <font>
      <sz val="11"/>
      <color theme="1"/>
      <name val="Calibri"/>
      <family val="2"/>
      <charset val="1"/>
    </font>
    <font>
      <b val="true"/>
      <sz val="26"/>
      <color rgb="FF008080"/>
      <name val="Arial"/>
      <family val="2"/>
      <charset val="1"/>
    </font>
    <font>
      <sz val="10"/>
      <color rgb="FF008080"/>
      <name val="Arial"/>
      <family val="2"/>
      <charset val="1"/>
    </font>
    <font>
      <b val="true"/>
      <sz val="14"/>
      <color rgb="FF00808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20"/>
      <color rgb="FF008080"/>
      <name val="Arial"/>
      <family val="2"/>
      <charset val="1"/>
    </font>
    <font>
      <b val="true"/>
      <sz val="12"/>
      <color rgb="FF008080"/>
      <name val="Arial"/>
      <family val="2"/>
      <charset val="1"/>
    </font>
    <font>
      <b val="true"/>
      <sz val="11"/>
      <color rgb="FF008080"/>
      <name val="Arial"/>
      <family val="2"/>
      <charset val="1"/>
    </font>
    <font>
      <sz val="10"/>
      <name val="Arial"/>
      <family val="2"/>
      <charset val="1"/>
    </font>
    <font>
      <sz val="9"/>
      <name val="Arial"/>
      <family val="2"/>
      <charset val="1"/>
    </font>
    <font>
      <b val="true"/>
      <sz val="9"/>
      <color rgb="FF008080"/>
      <name val="Arial"/>
      <family val="2"/>
      <charset val="1"/>
    </font>
    <font>
      <b val="true"/>
      <sz val="9"/>
      <name val="Arial"/>
      <family val="2"/>
      <charset val="1"/>
    </font>
    <font>
      <sz val="8"/>
      <name val="Arial"/>
      <family val="2"/>
      <charset val="1"/>
    </font>
    <font>
      <i val="true"/>
      <sz val="8"/>
      <name val="Arial"/>
      <family val="2"/>
      <charset val="204"/>
    </font>
    <font>
      <sz val="9"/>
      <name val="Arial Unicode MS"/>
      <family val="2"/>
      <charset val="1"/>
    </font>
    <font>
      <b val="true"/>
      <sz val="9"/>
      <name val="Arial"/>
      <family val="2"/>
      <charset val="204"/>
    </font>
    <font>
      <b val="true"/>
      <sz val="8"/>
      <name val="Arial"/>
      <family val="2"/>
      <charset val="1"/>
    </font>
    <font>
      <sz val="8"/>
      <name val="Arial Unicode MS"/>
      <family val="2"/>
      <charset val="1"/>
    </font>
    <font>
      <i val="true"/>
      <sz val="8"/>
      <name val="Arial"/>
      <family val="2"/>
      <charset val="1"/>
    </font>
    <font>
      <b val="true"/>
      <sz val="10"/>
      <color rgb="FF008080"/>
      <name val="Arial"/>
      <family val="2"/>
      <charset val="1"/>
    </font>
    <font>
      <sz val="9"/>
      <color rgb="FF0000FF"/>
      <name val="Arial"/>
      <family val="2"/>
      <charset val="1"/>
    </font>
    <font>
      <i val="true"/>
      <sz val="9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5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15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5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5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5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15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5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5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5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8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5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2 2" xfId="21"/>
    <cellStyle name="Обычный 3" xfId="22"/>
    <cellStyle name="Процентный 2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connections" Target="connection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Y55"/>
  <sheetViews>
    <sheetView showFormulas="false" showGridLines="false" showRowColHeaders="true" showZeros="true" rightToLeft="false" tabSelected="true" showOutlineSymbols="true" defaultGridColor="true" view="normal" topLeftCell="G5" colorId="64" zoomScale="100" zoomScaleNormal="100" zoomScalePageLayoutView="100" workbookViewId="0">
      <selection pane="topLeft" activeCell="O3" activeCellId="0" sqref="O3"/>
    </sheetView>
  </sheetViews>
  <sheetFormatPr defaultColWidth="8.5078125" defaultRowHeight="12.7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.44"/>
    <col collapsed="false" customWidth="true" hidden="false" outlineLevel="0" max="3" min="3" style="1" width="11.11"/>
    <col collapsed="false" customWidth="true" hidden="false" outlineLevel="0" max="4" min="4" style="1" width="8.34"/>
    <col collapsed="false" customWidth="true" hidden="false" outlineLevel="0" max="5" min="5" style="1" width="8.67"/>
    <col collapsed="false" customWidth="true" hidden="false" outlineLevel="0" max="6" min="6" style="1" width="7.33"/>
    <col collapsed="false" customWidth="true" hidden="false" outlineLevel="0" max="7" min="7" style="1" width="1.88"/>
    <col collapsed="false" customWidth="true" hidden="false" outlineLevel="0" max="8" min="8" style="1" width="7.33"/>
    <col collapsed="false" customWidth="true" hidden="false" outlineLevel="0" max="9" min="9" style="1" width="1.67"/>
    <col collapsed="false" customWidth="true" hidden="false" outlineLevel="0" max="10" min="10" style="1" width="7.33"/>
    <col collapsed="false" customWidth="true" hidden="false" outlineLevel="0" max="11" min="11" style="1" width="1.88"/>
    <col collapsed="false" customWidth="true" hidden="false" outlineLevel="0" max="12" min="12" style="1" width="2.67"/>
    <col collapsed="false" customWidth="true" hidden="false" outlineLevel="0" max="13" min="13" style="1" width="8.67"/>
    <col collapsed="false" customWidth="true" hidden="false" outlineLevel="0" max="14" min="14" style="1" width="10.56"/>
    <col collapsed="false" customWidth="true" hidden="false" outlineLevel="0" max="15" min="15" style="1" width="6.11"/>
    <col collapsed="false" customWidth="true" hidden="false" outlineLevel="0" max="16" min="16" style="1" width="5.66"/>
    <col collapsed="false" customWidth="true" hidden="false" outlineLevel="0" max="17" min="17" style="1" width="1.88"/>
    <col collapsed="false" customWidth="true" hidden="false" outlineLevel="0" max="18" min="18" style="1" width="2.44"/>
    <col collapsed="false" customWidth="true" hidden="false" outlineLevel="0" max="19" min="19" style="1" width="5.44"/>
    <col collapsed="false" customWidth="true" hidden="false" outlineLevel="0" max="20" min="20" style="1" width="5.66"/>
    <col collapsed="false" customWidth="true" hidden="false" outlineLevel="0" max="21" min="21" style="1" width="3.44"/>
    <col collapsed="false" customWidth="true" hidden="false" outlineLevel="0" max="22" min="22" style="1" width="6.11"/>
    <col collapsed="false" customWidth="true" hidden="false" outlineLevel="0" max="23" min="23" style="1" width="6"/>
    <col collapsed="false" customWidth="true" hidden="false" outlineLevel="0" max="24" min="24" style="1" width="1.88"/>
    <col collapsed="false" customWidth="true" hidden="false" outlineLevel="0" max="25" min="25" style="1" width="1.67"/>
  </cols>
  <sheetData>
    <row r="2" customFormat="false" ht="31.5" hidden="false" customHeight="false" outlineLevel="0" collapsed="false">
      <c r="G2" s="2" t="s">
        <v>0</v>
      </c>
      <c r="H2" s="2"/>
    </row>
    <row r="3" customFormat="false" ht="12.75" hidden="false" customHeight="false" outlineLevel="0" collapsed="false">
      <c r="B3" s="1" t="str">
        <f aca="false">W!A861</f>
        <v> This is a history quarter</v>
      </c>
      <c r="V3" s="3" t="s">
        <v>1</v>
      </c>
      <c r="W3" s="4" t="str">
        <f aca="false">W!A6</f>
        <v>  26C1</v>
      </c>
    </row>
    <row r="4" customFormat="false" ht="12.75" hidden="false" customHeight="false" outlineLevel="0" collapsed="false">
      <c r="B4" s="1" t="n">
        <f aca="false">W!A862</f>
        <v>0</v>
      </c>
    </row>
    <row r="5" customFormat="false" ht="17.25" hidden="false" customHeight="false" outlineLevel="0" collapsed="false">
      <c r="B5" s="1" t="n">
        <f aca="false">W!A863</f>
        <v>0</v>
      </c>
      <c r="H5" s="5" t="s">
        <v>2</v>
      </c>
      <c r="J5" s="6"/>
      <c r="K5" s="6"/>
      <c r="L5" s="6" t="n">
        <f aca="false">W!$A2</f>
        <v>0</v>
      </c>
      <c r="N5" s="5" t="s">
        <v>3</v>
      </c>
      <c r="O5" s="7" t="n">
        <f aca="false">W!$A1</f>
        <v>0</v>
      </c>
      <c r="P5" s="6"/>
      <c r="Q5" s="6"/>
      <c r="S5" s="8"/>
      <c r="T5" s="9"/>
      <c r="U5" s="8"/>
      <c r="V5" s="8"/>
    </row>
    <row r="6" customFormat="false" ht="12.75" hidden="false" customHeight="false" outlineLevel="0" collapsed="false">
      <c r="B6" s="1" t="n">
        <f aca="false">W!A864</f>
        <v>0</v>
      </c>
    </row>
    <row r="8" customFormat="false" ht="12.75" hidden="false" customHeight="false" outlineLevel="0" collapsed="false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2"/>
    </row>
    <row r="9" customFormat="false" ht="24.45" hidden="false" customHeight="false" outlineLevel="0" collapsed="false">
      <c r="B9" s="13"/>
      <c r="C9" s="4" t="s">
        <v>4</v>
      </c>
      <c r="G9" s="8"/>
      <c r="H9" s="14" t="s">
        <v>5</v>
      </c>
      <c r="I9" s="14"/>
      <c r="J9" s="14"/>
      <c r="O9" s="15" t="s">
        <v>6</v>
      </c>
      <c r="P9" s="16" t="n">
        <f aca="false">W!$A4</f>
        <v>2026</v>
      </c>
      <c r="Q9" s="9"/>
      <c r="R9" s="17" t="s">
        <v>7</v>
      </c>
      <c r="S9" s="16" t="n">
        <f aca="false">W!$A5</f>
        <v>1</v>
      </c>
      <c r="T9" s="15" t="s">
        <v>8</v>
      </c>
      <c r="U9" s="15" t="s">
        <v>8</v>
      </c>
      <c r="V9" s="16" t="s">
        <v>8</v>
      </c>
      <c r="W9" s="17" t="s">
        <v>8</v>
      </c>
      <c r="X9" s="8" t="s">
        <v>8</v>
      </c>
      <c r="Y9" s="18"/>
    </row>
    <row r="10" customFormat="false" ht="11.25" hidden="false" customHeight="true" outlineLevel="0" collapsed="false">
      <c r="B10" s="13"/>
      <c r="H10" s="14"/>
      <c r="I10" s="14"/>
      <c r="J10" s="14"/>
      <c r="O10" s="19"/>
      <c r="P10" s="8"/>
      <c r="Q10" s="9"/>
      <c r="R10" s="9"/>
      <c r="S10" s="16"/>
      <c r="X10" s="20"/>
      <c r="Y10" s="18"/>
    </row>
    <row r="11" customFormat="false" ht="12.75" hidden="false" customHeight="true" outlineLevel="0" collapsed="false">
      <c r="B11" s="13"/>
      <c r="C11" s="21"/>
      <c r="D11" s="21"/>
      <c r="E11" s="21"/>
      <c r="F11" s="21"/>
      <c r="G11" s="21"/>
      <c r="H11" s="21"/>
      <c r="I11" s="21"/>
      <c r="J11" s="22"/>
      <c r="K11" s="21"/>
      <c r="L11" s="21"/>
      <c r="M11" s="21"/>
      <c r="N11" s="21"/>
      <c r="O11" s="23"/>
      <c r="P11" s="24"/>
      <c r="Q11" s="21"/>
      <c r="R11" s="23"/>
      <c r="S11" s="25"/>
      <c r="T11" s="21"/>
      <c r="U11" s="21"/>
      <c r="V11" s="21"/>
      <c r="W11" s="21"/>
      <c r="X11" s="21"/>
      <c r="Y11" s="26"/>
    </row>
    <row r="12" customFormat="false" ht="12.75" hidden="false" customHeight="false" outlineLevel="0" collapsed="false">
      <c r="B12" s="13"/>
      <c r="C12" s="21"/>
      <c r="D12" s="21"/>
      <c r="E12" s="27" t="s">
        <v>9</v>
      </c>
      <c r="F12" s="28" t="s">
        <v>10</v>
      </c>
      <c r="G12" s="29" t="n">
        <v>1</v>
      </c>
      <c r="H12" s="28" t="s">
        <v>10</v>
      </c>
      <c r="I12" s="29" t="n">
        <v>2</v>
      </c>
      <c r="J12" s="28" t="s">
        <v>10</v>
      </c>
      <c r="K12" s="29" t="n">
        <v>3</v>
      </c>
      <c r="L12" s="21"/>
      <c r="M12" s="30"/>
      <c r="N12" s="30"/>
      <c r="O12" s="30"/>
      <c r="P12" s="31" t="s">
        <v>11</v>
      </c>
      <c r="Q12" s="32"/>
      <c r="R12" s="33"/>
      <c r="S12" s="21"/>
      <c r="T12" s="34" t="s">
        <v>12</v>
      </c>
      <c r="U12" s="35"/>
      <c r="V12" s="30"/>
      <c r="W12" s="31" t="s">
        <v>13</v>
      </c>
      <c r="X12" s="32"/>
      <c r="Y12" s="26"/>
    </row>
    <row r="13" customFormat="false" ht="12.75" hidden="false" customHeight="false" outlineLevel="0" collapsed="false">
      <c r="B13" s="13"/>
      <c r="C13" s="25" t="s">
        <v>14</v>
      </c>
      <c r="D13" s="21"/>
      <c r="E13" s="36"/>
      <c r="F13" s="28"/>
      <c r="G13" s="21"/>
      <c r="H13" s="28"/>
      <c r="I13" s="21"/>
      <c r="J13" s="28"/>
      <c r="K13" s="37"/>
      <c r="L13" s="21"/>
      <c r="M13" s="25" t="s">
        <v>15</v>
      </c>
      <c r="N13" s="30"/>
      <c r="O13" s="30"/>
      <c r="P13" s="38" t="s">
        <v>16</v>
      </c>
      <c r="Q13" s="39"/>
      <c r="R13" s="40"/>
      <c r="S13" s="21"/>
      <c r="T13" s="38" t="s">
        <v>17</v>
      </c>
      <c r="U13" s="41"/>
      <c r="V13" s="36"/>
      <c r="W13" s="42" t="s">
        <v>18</v>
      </c>
      <c r="X13" s="43"/>
      <c r="Y13" s="26"/>
    </row>
    <row r="14" customFormat="false" ht="12.75" hidden="false" customHeight="false" outlineLevel="0" collapsed="false">
      <c r="B14" s="13"/>
      <c r="C14" s="21"/>
      <c r="D14" s="21" t="s">
        <v>19</v>
      </c>
      <c r="E14" s="44" t="n">
        <f aca="false">W!A7</f>
        <v>15</v>
      </c>
      <c r="F14" s="45" t="n">
        <f aca="false">W!A11</f>
        <v>10</v>
      </c>
      <c r="G14" s="46"/>
      <c r="H14" s="45" t="n">
        <f aca="false">W!A14</f>
        <v>10</v>
      </c>
      <c r="I14" s="47"/>
      <c r="J14" s="45" t="n">
        <f aca="false">W!A17</f>
        <v>10</v>
      </c>
      <c r="K14" s="47"/>
      <c r="L14" s="21"/>
      <c r="M14" s="21" t="s">
        <v>20</v>
      </c>
      <c r="N14" s="21"/>
      <c r="O14" s="30"/>
      <c r="P14" s="48" t="n">
        <v>3</v>
      </c>
      <c r="Q14" s="49" t="n">
        <f aca="false">W!B61</f>
        <v>0</v>
      </c>
      <c r="R14" s="40"/>
      <c r="S14" s="21"/>
      <c r="T14" s="48" t="n">
        <f aca="false">W!A62</f>
        <v>10</v>
      </c>
      <c r="U14" s="49" t="n">
        <f aca="false">W!B62</f>
        <v>0</v>
      </c>
      <c r="V14" s="21"/>
      <c r="W14" s="48" t="n">
        <v>8</v>
      </c>
      <c r="X14" s="50"/>
      <c r="Y14" s="26"/>
    </row>
    <row r="15" customFormat="false" ht="12.75" hidden="false" customHeight="false" outlineLevel="0" collapsed="false">
      <c r="B15" s="13"/>
      <c r="C15" s="21"/>
      <c r="D15" s="21" t="s">
        <v>21</v>
      </c>
      <c r="E15" s="51" t="n">
        <f aca="false">W!A8</f>
        <v>5</v>
      </c>
      <c r="F15" s="45" t="n">
        <f aca="false">W!A12</f>
        <v>5</v>
      </c>
      <c r="G15" s="52"/>
      <c r="H15" s="45" t="n">
        <f aca="false">W!A15</f>
        <v>5</v>
      </c>
      <c r="I15" s="53"/>
      <c r="J15" s="45" t="n">
        <f aca="false">W!A18</f>
        <v>5</v>
      </c>
      <c r="K15" s="53"/>
      <c r="L15" s="21"/>
      <c r="M15" s="21" t="s">
        <v>22</v>
      </c>
      <c r="N15" s="21"/>
      <c r="O15" s="30"/>
      <c r="P15" s="42" t="n">
        <v>1</v>
      </c>
      <c r="Q15" s="39" t="n">
        <f aca="false">W!B64</f>
        <v>0</v>
      </c>
      <c r="R15" s="40"/>
      <c r="S15" s="21"/>
      <c r="T15" s="54" t="n">
        <f aca="false">W!A65</f>
        <v>8</v>
      </c>
      <c r="U15" s="55" t="n">
        <f aca="false">W!B65</f>
        <v>0</v>
      </c>
      <c r="V15" s="21"/>
      <c r="W15" s="56" t="n">
        <v>6</v>
      </c>
      <c r="X15" s="55"/>
      <c r="Y15" s="26"/>
    </row>
    <row r="16" customFormat="false" ht="12.75" hidden="false" customHeight="false" outlineLevel="0" collapsed="false">
      <c r="B16" s="13"/>
      <c r="C16" s="21"/>
      <c r="D16" s="21" t="s">
        <v>23</v>
      </c>
      <c r="E16" s="57" t="n">
        <f aca="false">W!A9</f>
        <v>10</v>
      </c>
      <c r="F16" s="58" t="n">
        <f aca="false">W!A13</f>
        <v>5</v>
      </c>
      <c r="G16" s="59"/>
      <c r="H16" s="58" t="n">
        <f aca="false">W!A16</f>
        <v>5</v>
      </c>
      <c r="I16" s="39"/>
      <c r="J16" s="58" t="n">
        <f aca="false">W!A19</f>
        <v>5</v>
      </c>
      <c r="K16" s="39"/>
      <c r="L16" s="21"/>
      <c r="M16" s="21" t="s">
        <v>24</v>
      </c>
      <c r="N16" s="21"/>
      <c r="O16" s="30"/>
      <c r="P16" s="36"/>
      <c r="Q16" s="30"/>
      <c r="R16" s="30"/>
      <c r="S16" s="21"/>
      <c r="T16" s="42" t="n">
        <f aca="false">W!A68</f>
        <v>9</v>
      </c>
      <c r="U16" s="60" t="n">
        <f aca="false">W!B68</f>
        <v>0</v>
      </c>
      <c r="V16" s="21"/>
      <c r="W16" s="61" t="n">
        <f aca="false">W!A69</f>
        <v>5</v>
      </c>
      <c r="X16" s="60"/>
      <c r="Y16" s="26"/>
    </row>
    <row r="17" customFormat="false" ht="12.75" hidden="false" customHeight="false" outlineLevel="0" collapsed="false">
      <c r="B17" s="13"/>
      <c r="C17" s="21"/>
      <c r="D17" s="21"/>
      <c r="E17" s="45"/>
      <c r="F17" s="45"/>
      <c r="G17" s="40"/>
      <c r="H17" s="45"/>
      <c r="I17" s="40"/>
      <c r="J17" s="45"/>
      <c r="K17" s="40"/>
      <c r="L17" s="21"/>
      <c r="M17" s="30"/>
      <c r="N17" s="30"/>
      <c r="O17" s="30"/>
      <c r="P17" s="36"/>
      <c r="Q17" s="30"/>
      <c r="R17" s="30"/>
      <c r="S17" s="21"/>
      <c r="T17" s="45"/>
      <c r="U17" s="40"/>
      <c r="V17" s="21"/>
      <c r="W17" s="62"/>
      <c r="X17" s="40"/>
      <c r="Y17" s="26"/>
    </row>
    <row r="18" customFormat="false" ht="12.75" hidden="false" customHeight="false" outlineLevel="0" collapsed="false">
      <c r="B18" s="13"/>
      <c r="C18" s="25" t="s">
        <v>25</v>
      </c>
      <c r="D18" s="21"/>
      <c r="E18" s="21"/>
      <c r="F18" s="21"/>
      <c r="G18" s="63"/>
      <c r="H18" s="21"/>
      <c r="I18" s="21"/>
      <c r="J18" s="21"/>
      <c r="K18" s="21"/>
      <c r="L18" s="21"/>
      <c r="M18" s="24" t="s">
        <v>26</v>
      </c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40"/>
      <c r="Y18" s="26"/>
    </row>
    <row r="19" customFormat="false" ht="12.75" hidden="false" customHeight="false" outlineLevel="0" collapsed="false">
      <c r="B19" s="13"/>
      <c r="C19" s="21"/>
      <c r="D19" s="21" t="s">
        <v>19</v>
      </c>
      <c r="E19" s="21"/>
      <c r="F19" s="48" t="n">
        <f aca="false">W!A21</f>
        <v>325</v>
      </c>
      <c r="G19" s="55" t="n">
        <f aca="false">W!B21</f>
        <v>0</v>
      </c>
      <c r="H19" s="64" t="n">
        <f aca="false">W!A24</f>
        <v>490</v>
      </c>
      <c r="I19" s="49" t="n">
        <f aca="false">W!B24</f>
        <v>0</v>
      </c>
      <c r="J19" s="64" t="n">
        <f aca="false">W!A27</f>
        <v>690</v>
      </c>
      <c r="K19" s="49" t="n">
        <f aca="false">W!B27</f>
        <v>0</v>
      </c>
      <c r="L19" s="21"/>
      <c r="M19" s="65" t="s">
        <v>27</v>
      </c>
      <c r="N19" s="30"/>
      <c r="O19" s="66" t="s">
        <v>28</v>
      </c>
      <c r="P19" s="67" t="n">
        <f aca="false">W!A57</f>
        <v>5</v>
      </c>
      <c r="Q19" s="68"/>
      <c r="R19" s="30"/>
      <c r="S19" s="65" t="s">
        <v>29</v>
      </c>
      <c r="T19" s="69" t="n">
        <f aca="false">W!A58</f>
        <v>0</v>
      </c>
      <c r="U19" s="68"/>
      <c r="V19" s="66" t="s">
        <v>30</v>
      </c>
      <c r="W19" s="67" t="n">
        <f aca="false">W!A59</f>
        <v>0</v>
      </c>
      <c r="X19" s="70"/>
      <c r="Y19" s="26"/>
    </row>
    <row r="20" customFormat="false" ht="12.75" hidden="false" customHeight="false" outlineLevel="0" collapsed="false">
      <c r="B20" s="13"/>
      <c r="C20" s="21"/>
      <c r="D20" s="21" t="s">
        <v>21</v>
      </c>
      <c r="E20" s="21"/>
      <c r="F20" s="54" t="n">
        <f aca="false">W!A22</f>
        <v>335</v>
      </c>
      <c r="G20" s="55" t="n">
        <f aca="false">W!B22</f>
        <v>0</v>
      </c>
      <c r="H20" s="45" t="n">
        <f aca="false">W!A25</f>
        <v>490</v>
      </c>
      <c r="I20" s="55" t="n">
        <f aca="false">W!B25</f>
        <v>0</v>
      </c>
      <c r="J20" s="45" t="n">
        <f aca="false">W!A28</f>
        <v>725</v>
      </c>
      <c r="K20" s="55" t="n">
        <f aca="false">W!B28</f>
        <v>0</v>
      </c>
      <c r="L20" s="21"/>
      <c r="M20" s="71" t="s">
        <v>31</v>
      </c>
      <c r="N20" s="21"/>
      <c r="O20" s="21"/>
      <c r="P20" s="54" t="n">
        <f aca="false">W!A75</f>
        <v>20</v>
      </c>
      <c r="Q20" s="26"/>
      <c r="R20" s="21"/>
      <c r="S20" s="65" t="s">
        <v>32</v>
      </c>
      <c r="T20" s="72"/>
      <c r="U20" s="73"/>
      <c r="V20" s="72"/>
      <c r="W20" s="54" t="n">
        <f aca="false">W!A76</f>
        <v>2</v>
      </c>
      <c r="X20" s="50"/>
      <c r="Y20" s="26"/>
    </row>
    <row r="21" customFormat="false" ht="12.75" hidden="false" customHeight="false" outlineLevel="0" collapsed="false">
      <c r="B21" s="13"/>
      <c r="C21" s="21"/>
      <c r="D21" s="21" t="s">
        <v>23</v>
      </c>
      <c r="E21" s="21"/>
      <c r="F21" s="42" t="n">
        <f aca="false">W!A23</f>
        <v>375</v>
      </c>
      <c r="G21" s="60" t="n">
        <f aca="false">W!B23</f>
        <v>0</v>
      </c>
      <c r="H21" s="58" t="n">
        <f aca="false">W!A26</f>
        <v>585</v>
      </c>
      <c r="I21" s="60" t="n">
        <f aca="false">W!B26</f>
        <v>0</v>
      </c>
      <c r="J21" s="58" t="n">
        <f aca="false">W!A29</f>
        <v>855</v>
      </c>
      <c r="K21" s="60" t="n">
        <f aca="false">W!B29</f>
        <v>0</v>
      </c>
      <c r="L21" s="21"/>
      <c r="M21" s="65" t="s">
        <v>33</v>
      </c>
      <c r="N21" s="21"/>
      <c r="O21" s="30"/>
      <c r="P21" s="42" t="n">
        <f aca="false">W!A77</f>
        <v>5</v>
      </c>
      <c r="Q21" s="74"/>
      <c r="R21" s="45"/>
      <c r="S21" s="65" t="s">
        <v>34</v>
      </c>
      <c r="T21" s="30"/>
      <c r="U21" s="30"/>
      <c r="V21" s="30"/>
      <c r="W21" s="42" t="n">
        <f aca="false">W!A78</f>
        <v>15</v>
      </c>
      <c r="X21" s="75"/>
      <c r="Y21" s="26"/>
    </row>
    <row r="22" customFormat="false" ht="12.75" hidden="false" customHeight="false" outlineLevel="0" collapsed="false">
      <c r="B22" s="13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6"/>
    </row>
    <row r="23" customFormat="false" ht="12.75" hidden="false" customHeight="false" outlineLevel="0" collapsed="false">
      <c r="B23" s="13"/>
      <c r="C23" s="25" t="s">
        <v>35</v>
      </c>
      <c r="D23" s="21"/>
      <c r="E23" s="21"/>
      <c r="F23" s="21"/>
      <c r="G23" s="21"/>
      <c r="H23" s="21"/>
      <c r="I23" s="21"/>
      <c r="J23" s="21"/>
      <c r="K23" s="21"/>
      <c r="L23" s="21"/>
      <c r="M23" s="25" t="s">
        <v>36</v>
      </c>
      <c r="N23" s="21"/>
      <c r="O23" s="30"/>
      <c r="P23" s="21"/>
      <c r="Q23" s="58"/>
      <c r="R23" s="45"/>
      <c r="S23" s="21"/>
      <c r="T23" s="30"/>
      <c r="U23" s="30"/>
      <c r="V23" s="30"/>
      <c r="W23" s="45"/>
      <c r="X23" s="40"/>
      <c r="Y23" s="26"/>
    </row>
    <row r="24" customFormat="false" ht="12.75" hidden="false" customHeight="false" outlineLevel="0" collapsed="false">
      <c r="B24" s="13"/>
      <c r="C24" s="21" t="s">
        <v>20</v>
      </c>
      <c r="D24" s="21"/>
      <c r="E24" s="21"/>
      <c r="F24" s="48" t="n">
        <f aca="false">W!A31</f>
        <v>1000</v>
      </c>
      <c r="G24" s="49" t="n">
        <f aca="false">W!B31</f>
        <v>0</v>
      </c>
      <c r="H24" s="64" t="n">
        <f aca="false">W!A34</f>
        <v>700</v>
      </c>
      <c r="I24" s="49" t="n">
        <f aca="false">W!B34</f>
        <v>0</v>
      </c>
      <c r="J24" s="64" t="n">
        <f aca="false">W!A37</f>
        <v>375</v>
      </c>
      <c r="K24" s="49" t="n">
        <f aca="false">W!B37</f>
        <v>0</v>
      </c>
      <c r="L24" s="21"/>
      <c r="M24" s="65" t="s">
        <v>37</v>
      </c>
      <c r="N24" s="30"/>
      <c r="O24" s="30"/>
      <c r="P24" s="48" t="n">
        <f aca="false">W!A81</f>
        <v>4</v>
      </c>
      <c r="Q24" s="55" t="n">
        <f aca="false">W!B81</f>
        <v>0</v>
      </c>
      <c r="R24" s="45"/>
      <c r="S24" s="65" t="s">
        <v>38</v>
      </c>
      <c r="T24" s="30"/>
      <c r="U24" s="30"/>
      <c r="V24" s="30"/>
      <c r="W24" s="67" t="n">
        <f aca="false">W!A82</f>
        <v>0</v>
      </c>
      <c r="X24" s="70" t="n">
        <f aca="false">W!B82</f>
        <v>0</v>
      </c>
      <c r="Y24" s="26"/>
    </row>
    <row r="25" customFormat="false" ht="12.75" hidden="false" customHeight="false" outlineLevel="0" collapsed="false">
      <c r="B25" s="13"/>
      <c r="C25" s="21" t="s">
        <v>22</v>
      </c>
      <c r="D25" s="21"/>
      <c r="E25" s="21"/>
      <c r="F25" s="54" t="n">
        <f aca="false">W!A32</f>
        <v>100</v>
      </c>
      <c r="G25" s="55" t="n">
        <f aca="false">W!B32</f>
        <v>0</v>
      </c>
      <c r="H25" s="45" t="n">
        <f aca="false">W!A35</f>
        <v>100</v>
      </c>
      <c r="I25" s="55" t="n">
        <f aca="false">W!B35</f>
        <v>0</v>
      </c>
      <c r="J25" s="45" t="n">
        <f aca="false">W!A38</f>
        <v>75</v>
      </c>
      <c r="K25" s="55" t="n">
        <f aca="false">W!B38</f>
        <v>0</v>
      </c>
      <c r="L25" s="21"/>
      <c r="M25" s="65" t="s">
        <v>39</v>
      </c>
      <c r="N25" s="30"/>
      <c r="O25" s="30"/>
      <c r="P25" s="76" t="n">
        <f aca="false">W!A83/100</f>
        <v>12</v>
      </c>
      <c r="Q25" s="55" t="n">
        <f aca="false">W!B83</f>
        <v>0</v>
      </c>
      <c r="R25" s="45"/>
      <c r="S25" s="21"/>
      <c r="T25" s="30"/>
      <c r="U25" s="30"/>
      <c r="V25" s="30"/>
      <c r="W25" s="45"/>
      <c r="X25" s="33"/>
      <c r="Y25" s="26"/>
    </row>
    <row r="26" customFormat="false" ht="12.75" hidden="false" customHeight="false" outlineLevel="0" collapsed="false">
      <c r="B26" s="13"/>
      <c r="C26" s="21" t="s">
        <v>24</v>
      </c>
      <c r="D26" s="21"/>
      <c r="E26" s="21"/>
      <c r="F26" s="42" t="n">
        <f aca="false">W!A33</f>
        <v>200</v>
      </c>
      <c r="G26" s="60" t="n">
        <f aca="false">W!B33</f>
        <v>0</v>
      </c>
      <c r="H26" s="58" t="n">
        <f aca="false">W!A36</f>
        <v>150</v>
      </c>
      <c r="I26" s="60" t="n">
        <f aca="false">W!B36</f>
        <v>0</v>
      </c>
      <c r="J26" s="42" t="n">
        <f aca="false">W!A39</f>
        <v>100</v>
      </c>
      <c r="K26" s="60" t="n">
        <f aca="false">W!B39</f>
        <v>0</v>
      </c>
      <c r="L26" s="21"/>
      <c r="M26" s="65" t="s">
        <v>40</v>
      </c>
      <c r="N26" s="30"/>
      <c r="O26" s="30"/>
      <c r="P26" s="42" t="n">
        <f aca="false">W!A85</f>
        <v>80</v>
      </c>
      <c r="Q26" s="60" t="n">
        <f aca="false">W!B85</f>
        <v>0</v>
      </c>
      <c r="R26" s="77"/>
      <c r="S26" s="65" t="s">
        <v>41</v>
      </c>
      <c r="T26" s="21"/>
      <c r="U26" s="30"/>
      <c r="V26" s="30"/>
      <c r="W26" s="67" t="n">
        <f aca="false">W!A86</f>
        <v>0</v>
      </c>
      <c r="X26" s="78" t="n">
        <f aca="false">W!B86</f>
        <v>0</v>
      </c>
      <c r="Y26" s="26"/>
    </row>
    <row r="27" customFormat="false" ht="12.75" hidden="false" customHeight="false" outlineLevel="0" collapsed="false">
      <c r="B27" s="13"/>
      <c r="C27" s="21"/>
      <c r="D27" s="79" t="s">
        <v>42</v>
      </c>
      <c r="E27" s="21"/>
      <c r="F27" s="21"/>
      <c r="G27" s="72"/>
      <c r="H27" s="45"/>
      <c r="I27" s="40"/>
      <c r="J27" s="45"/>
      <c r="K27" s="72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40"/>
      <c r="Y27" s="26"/>
    </row>
    <row r="28" customFormat="false" ht="12.75" hidden="false" customHeight="false" outlineLevel="0" collapsed="false">
      <c r="B28" s="13"/>
      <c r="C28" s="24" t="s">
        <v>43</v>
      </c>
      <c r="D28" s="21"/>
      <c r="E28" s="21"/>
      <c r="F28" s="21"/>
      <c r="G28" s="21"/>
      <c r="H28" s="21"/>
      <c r="I28" s="21"/>
      <c r="J28" s="21"/>
      <c r="K28" s="21"/>
      <c r="L28" s="21"/>
      <c r="M28" s="25" t="s">
        <v>44</v>
      </c>
      <c r="N28" s="21"/>
      <c r="O28" s="21"/>
      <c r="P28" s="21"/>
      <c r="Q28" s="80"/>
      <c r="R28" s="30"/>
      <c r="S28" s="21"/>
      <c r="T28" s="30"/>
      <c r="U28" s="30"/>
      <c r="V28" s="30"/>
      <c r="W28" s="30"/>
      <c r="X28" s="33"/>
      <c r="Y28" s="26"/>
    </row>
    <row r="29" customFormat="false" ht="12.75" hidden="false" customHeight="false" outlineLevel="0" collapsed="false">
      <c r="B29" s="13"/>
      <c r="C29" s="21" t="s">
        <v>45</v>
      </c>
      <c r="D29" s="21"/>
      <c r="E29" s="45"/>
      <c r="F29" s="48" t="n">
        <f aca="false">W!A41</f>
        <v>0</v>
      </c>
      <c r="G29" s="47"/>
      <c r="H29" s="64" t="n">
        <f aca="false">W!A42</f>
        <v>1</v>
      </c>
      <c r="I29" s="47"/>
      <c r="J29" s="64" t="n">
        <f aca="false">W!A43</f>
        <v>0</v>
      </c>
      <c r="K29" s="81"/>
      <c r="L29" s="21"/>
      <c r="M29" s="65" t="s">
        <v>46</v>
      </c>
      <c r="N29" s="30"/>
      <c r="O29" s="30"/>
      <c r="P29" s="48" t="n">
        <f aca="false">W!A91</f>
        <v>0</v>
      </c>
      <c r="Q29" s="55" t="n">
        <f aca="false">W!B91</f>
        <v>0</v>
      </c>
      <c r="R29" s="45"/>
      <c r="S29" s="65" t="s">
        <v>47</v>
      </c>
      <c r="T29" s="30"/>
      <c r="U29" s="30"/>
      <c r="V29" s="30"/>
      <c r="W29" s="48" t="n">
        <f aca="false">W!A92</f>
        <v>0</v>
      </c>
      <c r="X29" s="49" t="str">
        <f aca="false">W!B92</f>
        <v>*</v>
      </c>
      <c r="Y29" s="26"/>
    </row>
    <row r="30" customFormat="false" ht="12.75" hidden="false" customHeight="false" outlineLevel="0" collapsed="false">
      <c r="B30" s="13"/>
      <c r="C30" s="21" t="s">
        <v>48</v>
      </c>
      <c r="D30" s="21"/>
      <c r="E30" s="45"/>
      <c r="F30" s="54" t="n">
        <f aca="false">W!A44</f>
        <v>25</v>
      </c>
      <c r="G30" s="53"/>
      <c r="H30" s="45" t="n">
        <f aca="false">W!A45</f>
        <v>15</v>
      </c>
      <c r="I30" s="53"/>
      <c r="J30" s="45" t="n">
        <f aca="false">W!A46</f>
        <v>15</v>
      </c>
      <c r="K30" s="26"/>
      <c r="L30" s="21"/>
      <c r="M30" s="65" t="s">
        <v>49</v>
      </c>
      <c r="N30" s="30"/>
      <c r="O30" s="30"/>
      <c r="P30" s="54" t="n">
        <f aca="false">W!A93</f>
        <v>0</v>
      </c>
      <c r="Q30" s="55" t="n">
        <f aca="false">W!B93</f>
        <v>0</v>
      </c>
      <c r="R30" s="45"/>
      <c r="S30" s="71" t="s">
        <v>50</v>
      </c>
      <c r="T30" s="30"/>
      <c r="U30" s="30"/>
      <c r="V30" s="30"/>
      <c r="W30" s="54" t="n">
        <f aca="false">W!A94</f>
        <v>0</v>
      </c>
      <c r="X30" s="55" t="n">
        <f aca="false">W!B94</f>
        <v>0</v>
      </c>
      <c r="Y30" s="26"/>
    </row>
    <row r="31" customFormat="false" ht="12.75" hidden="false" customHeight="false" outlineLevel="0" collapsed="false">
      <c r="B31" s="13"/>
      <c r="C31" s="21" t="s">
        <v>51</v>
      </c>
      <c r="D31" s="21"/>
      <c r="E31" s="21"/>
      <c r="F31" s="54" t="n">
        <f aca="false">W!A47</f>
        <v>115</v>
      </c>
      <c r="G31" s="50"/>
      <c r="H31" s="54" t="n">
        <f aca="false">W!A48</f>
        <v>165</v>
      </c>
      <c r="I31" s="50"/>
      <c r="J31" s="54" t="n">
        <f aca="false">W!A49</f>
        <v>325</v>
      </c>
      <c r="K31" s="50"/>
      <c r="L31" s="21"/>
      <c r="M31" s="65" t="s">
        <v>52</v>
      </c>
      <c r="N31" s="30"/>
      <c r="O31" s="30"/>
      <c r="P31" s="54" t="n">
        <f aca="false">W!A73</f>
        <v>0</v>
      </c>
      <c r="Q31" s="55" t="n">
        <f aca="false">W!B73</f>
        <v>0</v>
      </c>
      <c r="R31" s="45"/>
      <c r="S31" s="65" t="s">
        <v>53</v>
      </c>
      <c r="T31" s="30"/>
      <c r="U31" s="30"/>
      <c r="V31" s="30"/>
      <c r="W31" s="54" t="n">
        <f aca="false">W!A74</f>
        <v>0</v>
      </c>
      <c r="X31" s="55" t="n">
        <f aca="false">W!B74</f>
        <v>0</v>
      </c>
      <c r="Y31" s="26"/>
    </row>
    <row r="32" customFormat="false" ht="12.75" hidden="false" customHeight="false" outlineLevel="0" collapsed="false">
      <c r="B32" s="13"/>
      <c r="C32" s="21" t="s">
        <v>54</v>
      </c>
      <c r="D32" s="21"/>
      <c r="E32" s="45"/>
      <c r="F32" s="42" t="n">
        <f aca="false">W!A51</f>
        <v>0</v>
      </c>
      <c r="G32" s="60" t="n">
        <f aca="false">W!B51</f>
        <v>0</v>
      </c>
      <c r="H32" s="58" t="n">
        <f aca="false">W!A52</f>
        <v>0</v>
      </c>
      <c r="I32" s="60" t="n">
        <f aca="false">W!B52</f>
        <v>0</v>
      </c>
      <c r="J32" s="58" t="n">
        <f aca="false">W!A53</f>
        <v>0</v>
      </c>
      <c r="K32" s="60" t="n">
        <f aca="false">W!B53</f>
        <v>0</v>
      </c>
      <c r="L32" s="21"/>
      <c r="M32" s="65" t="s">
        <v>55</v>
      </c>
      <c r="N32" s="30"/>
      <c r="O32" s="30"/>
      <c r="P32" s="42" t="n">
        <f aca="false">W!A72</f>
        <v>0</v>
      </c>
      <c r="Q32" s="60" t="n">
        <f aca="false">W!B72</f>
        <v>0</v>
      </c>
      <c r="R32" s="45"/>
      <c r="S32" s="65" t="s">
        <v>56</v>
      </c>
      <c r="T32" s="30"/>
      <c r="U32" s="30"/>
      <c r="V32" s="30"/>
      <c r="W32" s="42" t="n">
        <f aca="false">W!A99</f>
        <v>1</v>
      </c>
      <c r="X32" s="39"/>
      <c r="Y32" s="26"/>
    </row>
    <row r="33" customFormat="false" ht="12.75" hidden="false" customHeight="false" outlineLevel="0" collapsed="false">
      <c r="B33" s="13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0"/>
      <c r="N33" s="30"/>
      <c r="O33" s="30"/>
      <c r="P33" s="45"/>
      <c r="Q33" s="45"/>
      <c r="R33" s="45"/>
      <c r="S33" s="30"/>
      <c r="T33" s="30"/>
      <c r="U33" s="30"/>
      <c r="V33" s="30"/>
      <c r="W33" s="21"/>
      <c r="X33" s="30"/>
      <c r="Y33" s="26"/>
    </row>
    <row r="34" customFormat="false" ht="12.75" hidden="false" customHeight="false" outlineLevel="0" collapsed="false">
      <c r="B34" s="13"/>
      <c r="C34" s="24" t="s">
        <v>57</v>
      </c>
      <c r="D34" s="21"/>
      <c r="E34" s="21"/>
      <c r="F34" s="21"/>
      <c r="G34" s="63"/>
      <c r="H34" s="21"/>
      <c r="I34" s="63"/>
      <c r="J34" s="21"/>
      <c r="K34" s="63"/>
      <c r="L34" s="21"/>
      <c r="M34" s="25" t="s">
        <v>58</v>
      </c>
      <c r="N34" s="30"/>
      <c r="O34" s="30"/>
      <c r="P34" s="45"/>
      <c r="Q34" s="45"/>
      <c r="R34" s="45"/>
      <c r="S34" s="30"/>
      <c r="T34" s="30"/>
      <c r="U34" s="30"/>
      <c r="V34" s="30"/>
      <c r="W34" s="21"/>
      <c r="X34" s="30"/>
      <c r="Y34" s="26"/>
    </row>
    <row r="35" customFormat="false" ht="12.75" hidden="false" customHeight="false" outlineLevel="0" collapsed="false">
      <c r="B35" s="13"/>
      <c r="C35" s="30" t="s">
        <v>59</v>
      </c>
      <c r="D35" s="21"/>
      <c r="E35" s="21"/>
      <c r="F35" s="69" t="n">
        <f aca="false">W!A54</f>
        <v>0</v>
      </c>
      <c r="G35" s="82" t="n">
        <f aca="false">W!B54</f>
        <v>0</v>
      </c>
      <c r="H35" s="37" t="n">
        <f aca="false">W!A55</f>
        <v>0</v>
      </c>
      <c r="I35" s="82" t="n">
        <f aca="false">W!B55</f>
        <v>0</v>
      </c>
      <c r="J35" s="37" t="n">
        <f aca="false">W!A56</f>
        <v>0</v>
      </c>
      <c r="K35" s="82" t="n">
        <f aca="false">W!B56</f>
        <v>0</v>
      </c>
      <c r="L35" s="21"/>
      <c r="M35" s="30" t="s">
        <v>60</v>
      </c>
      <c r="N35" s="30"/>
      <c r="O35" s="30"/>
      <c r="P35" s="67" t="n">
        <f aca="false">W!A97</f>
        <v>0</v>
      </c>
      <c r="Q35" s="83"/>
      <c r="R35" s="30"/>
      <c r="S35" s="30" t="s">
        <v>61</v>
      </c>
      <c r="T35" s="30"/>
      <c r="U35" s="30"/>
      <c r="V35" s="30"/>
      <c r="W35" s="67" t="n">
        <f aca="false">W!A98</f>
        <v>1</v>
      </c>
      <c r="X35" s="83"/>
      <c r="Y35" s="26"/>
    </row>
    <row r="36" customFormat="false" ht="12.75" hidden="false" customHeight="false" outlineLevel="0" collapsed="false">
      <c r="B36" s="84"/>
      <c r="C36" s="80"/>
      <c r="D36" s="80"/>
      <c r="E36" s="80"/>
      <c r="F36" s="80"/>
      <c r="G36" s="85"/>
      <c r="H36" s="80"/>
      <c r="I36" s="85"/>
      <c r="J36" s="80"/>
      <c r="K36" s="80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75"/>
    </row>
    <row r="37" customFormat="false" ht="35.25" hidden="false" customHeight="true" outlineLevel="0" collapsed="false">
      <c r="B37" s="86" t="s">
        <v>62</v>
      </c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</row>
    <row r="38" customFormat="false" ht="12.75" hidden="false" customHeight="false" outlineLevel="0" collapsed="false">
      <c r="M38" s="66"/>
    </row>
    <row r="40" customFormat="false" ht="12.75" hidden="false" customHeight="false" outlineLevel="0" collapsed="false">
      <c r="M40" s="1" t="s">
        <v>8</v>
      </c>
    </row>
    <row r="41" customFormat="false" ht="12.75" hidden="false" customHeight="false" outlineLevel="0" collapsed="false">
      <c r="G41" s="87"/>
      <c r="H41" s="88"/>
      <c r="I41" s="89"/>
      <c r="J41" s="88"/>
      <c r="K41" s="87"/>
    </row>
    <row r="47" customFormat="false" ht="12.75" hidden="false" customHeight="false" outlineLevel="0" collapsed="false">
      <c r="M47" s="1" t="s">
        <v>8</v>
      </c>
    </row>
    <row r="50" customFormat="false" ht="12.75" hidden="false" customHeight="false" outlineLevel="0" collapsed="false">
      <c r="E50" s="88"/>
      <c r="F50" s="88"/>
      <c r="G50" s="89"/>
      <c r="H50" s="88"/>
      <c r="I50" s="89"/>
      <c r="J50" s="88"/>
      <c r="K50" s="87"/>
    </row>
    <row r="51" customFormat="false" ht="12.75" hidden="false" customHeight="false" outlineLevel="0" collapsed="false">
      <c r="K51" s="89"/>
    </row>
    <row r="52" customFormat="false" ht="12.75" hidden="false" customHeight="false" outlineLevel="0" collapsed="false">
      <c r="K52" s="89"/>
    </row>
    <row r="53" customFormat="false" ht="12.75" hidden="false" customHeight="false" outlineLevel="0" collapsed="false">
      <c r="K53" s="89"/>
    </row>
    <row r="54" customFormat="false" ht="12.75" hidden="false" customHeight="false" outlineLevel="0" collapsed="false">
      <c r="E54" s="88"/>
      <c r="F54" s="88"/>
      <c r="G54" s="89"/>
      <c r="H54" s="88"/>
      <c r="I54" s="89"/>
      <c r="J54" s="88"/>
      <c r="K54" s="89"/>
    </row>
    <row r="55" customFormat="false" ht="12.75" hidden="false" customHeight="false" outlineLevel="0" collapsed="false">
      <c r="E55" s="88"/>
      <c r="F55" s="88"/>
      <c r="G55" s="89"/>
      <c r="H55" s="88"/>
      <c r="I55" s="89"/>
      <c r="K55" s="87"/>
    </row>
  </sheetData>
  <mergeCells count="1">
    <mergeCell ref="B37:Y37"/>
  </mergeCells>
  <printOptions headings="false" gridLines="false" gridLinesSet="true" horizontalCentered="false" verticalCentered="false"/>
  <pageMargins left="0.945138888888889" right="0.354166666666667" top="0.590277777777778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K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09375" defaultRowHeight="11.25" customHeight="false" zeroHeight="false" outlineLevelRow="0" outlineLevelCol="0"/>
  <cols>
    <col collapsed="false" customWidth="true" hidden="false" outlineLevel="0" max="1" min="1" style="21" width="1.67"/>
    <col collapsed="false" customWidth="true" hidden="false" outlineLevel="0" max="2" min="2" style="21" width="1.33"/>
    <col collapsed="false" customWidth="true" hidden="false" outlineLevel="0" max="5" min="3" style="21" width="8.34"/>
    <col collapsed="false" customWidth="true" hidden="false" outlineLevel="0" max="6" min="6" style="21" width="6.88"/>
    <col collapsed="false" customWidth="true" hidden="false" outlineLevel="0" max="7" min="7" style="21" width="8.67"/>
    <col collapsed="false" customWidth="true" hidden="false" outlineLevel="0" max="8" min="8" style="21" width="1.88"/>
    <col collapsed="false" customWidth="true" hidden="false" outlineLevel="0" max="9" min="9" style="21" width="1.67"/>
    <col collapsed="false" customWidth="true" hidden="false" outlineLevel="0" max="10" min="10" style="21" width="1.33"/>
    <col collapsed="false" customWidth="true" hidden="false" outlineLevel="0" max="12" min="11" style="21" width="8.67"/>
    <col collapsed="false" customWidth="true" hidden="false" outlineLevel="0" max="13" min="13" style="21" width="8.34"/>
    <col collapsed="false" customWidth="true" hidden="false" outlineLevel="0" max="14" min="14" style="21" width="8.44"/>
    <col collapsed="false" customWidth="true" hidden="false" outlineLevel="0" max="15" min="15" style="21" width="8.56"/>
    <col collapsed="false" customWidth="true" hidden="false" outlineLevel="0" max="16" min="16" style="21" width="1.33"/>
    <col collapsed="false" customWidth="true" hidden="false" outlineLevel="0" max="17" min="17" style="21" width="2.56"/>
    <col collapsed="false" customWidth="true" hidden="false" outlineLevel="0" max="18" min="18" style="21" width="1.33"/>
    <col collapsed="false" customWidth="true" hidden="false" outlineLevel="0" max="19" min="19" style="21" width="9.33"/>
    <col collapsed="false" customWidth="true" hidden="false" outlineLevel="0" max="20" min="20" style="21" width="12.11"/>
    <col collapsed="false" customWidth="true" hidden="false" outlineLevel="0" max="21" min="21" style="21" width="7.33"/>
    <col collapsed="false" customWidth="true" hidden="false" outlineLevel="0" max="22" min="22" style="21" width="1.88"/>
    <col collapsed="false" customWidth="true" hidden="false" outlineLevel="0" max="23" min="23" style="21" width="7.33"/>
    <col collapsed="false" customWidth="true" hidden="false" outlineLevel="0" max="24" min="24" style="21" width="2"/>
    <col collapsed="false" customWidth="true" hidden="false" outlineLevel="0" max="25" min="25" style="21" width="7.33"/>
    <col collapsed="false" customWidth="true" hidden="false" outlineLevel="0" max="26" min="26" style="21" width="1.44"/>
    <col collapsed="false" customWidth="true" hidden="false" outlineLevel="0" max="27" min="27" style="21" width="1"/>
    <col collapsed="false" customWidth="false" hidden="false" outlineLevel="0" max="28" min="28" style="21" width="9.11"/>
    <col collapsed="false" customWidth="true" hidden="false" outlineLevel="0" max="29" min="29" style="21" width="1.67"/>
    <col collapsed="false" customWidth="false" hidden="false" outlineLevel="0" max="30" min="30" style="21" width="9.11"/>
    <col collapsed="false" customWidth="true" hidden="false" outlineLevel="0" max="31" min="31" style="21" width="9.88"/>
    <col collapsed="false" customWidth="false" hidden="false" outlineLevel="0" max="32" min="32" style="21" width="9.11"/>
    <col collapsed="false" customWidth="true" hidden="false" outlineLevel="0" max="33" min="33" style="21" width="1.56"/>
    <col collapsed="false" customWidth="false" hidden="false" outlineLevel="0" max="34" min="34" style="21" width="9.11"/>
    <col collapsed="false" customWidth="true" hidden="false" outlineLevel="0" max="35" min="35" style="21" width="1.56"/>
    <col collapsed="false" customWidth="false" hidden="false" outlineLevel="0" max="16384" min="36" style="21" width="9.11"/>
  </cols>
  <sheetData>
    <row r="1" customFormat="false" ht="15" hidden="false" customHeight="false" outlineLevel="0" collapsed="false">
      <c r="D1" s="15" t="s">
        <v>3</v>
      </c>
      <c r="E1" s="16" t="n">
        <f aca="false">W!A1</f>
        <v>0</v>
      </c>
      <c r="F1" s="90" t="s">
        <v>63</v>
      </c>
      <c r="H1" s="16" t="n">
        <f aca="false">W!A2</f>
        <v>0</v>
      </c>
      <c r="M1" s="91" t="s">
        <v>64</v>
      </c>
      <c r="T1" s="15" t="s">
        <v>6</v>
      </c>
      <c r="U1" s="16" t="n">
        <f aca="false">W!A4</f>
        <v>2026</v>
      </c>
      <c r="V1" s="9"/>
      <c r="W1" s="17" t="s">
        <v>7</v>
      </c>
      <c r="X1" s="16" t="n">
        <f aca="false">W!A5</f>
        <v>1</v>
      </c>
    </row>
    <row r="2" customFormat="false" ht="12" hidden="false" customHeight="true" outlineLevel="0" collapsed="false">
      <c r="B2" s="63"/>
      <c r="C2" s="63"/>
      <c r="D2" s="63"/>
      <c r="E2" s="63"/>
      <c r="F2" s="63"/>
      <c r="G2" s="63"/>
      <c r="H2" s="63"/>
      <c r="J2" s="63"/>
      <c r="K2" s="63"/>
      <c r="L2" s="63"/>
      <c r="M2" s="63"/>
      <c r="N2" s="63"/>
      <c r="O2" s="63"/>
    </row>
    <row r="3" customFormat="false" ht="6.75" hidden="false" customHeight="true" outlineLevel="0" collapsed="false">
      <c r="B3" s="34"/>
      <c r="H3" s="81"/>
      <c r="J3" s="34"/>
      <c r="P3" s="81"/>
      <c r="R3" s="34"/>
      <c r="S3" s="73"/>
      <c r="T3" s="81"/>
      <c r="U3" s="73"/>
      <c r="V3" s="81"/>
      <c r="W3" s="73"/>
      <c r="X3" s="81"/>
      <c r="Y3" s="73"/>
      <c r="Z3" s="73"/>
      <c r="AA3" s="81"/>
    </row>
    <row r="4" customFormat="false" ht="11.45" hidden="false" customHeight="false" outlineLevel="0" collapsed="false">
      <c r="B4" s="92"/>
      <c r="C4" s="25" t="s">
        <v>65</v>
      </c>
      <c r="H4" s="26"/>
      <c r="J4" s="92"/>
      <c r="K4" s="24" t="s">
        <v>66</v>
      </c>
      <c r="P4" s="26"/>
      <c r="R4" s="93"/>
      <c r="S4" s="94" t="s">
        <v>67</v>
      </c>
      <c r="T4" s="63"/>
      <c r="U4" s="95" t="s">
        <v>68</v>
      </c>
      <c r="V4" s="80"/>
      <c r="W4" s="95" t="s">
        <v>69</v>
      </c>
      <c r="X4" s="96"/>
      <c r="Y4" s="95" t="s">
        <v>70</v>
      </c>
      <c r="Z4" s="80"/>
      <c r="AA4" s="75"/>
      <c r="AD4" s="24"/>
      <c r="AF4" s="30"/>
      <c r="AG4" s="30"/>
      <c r="AH4" s="30"/>
      <c r="AI4" s="30"/>
      <c r="AJ4" s="30"/>
      <c r="AK4" s="30"/>
    </row>
    <row r="5" customFormat="false" ht="11.45" hidden="false" customHeight="false" outlineLevel="0" collapsed="false">
      <c r="B5" s="92"/>
      <c r="C5" s="25"/>
      <c r="H5" s="26"/>
      <c r="J5" s="92"/>
      <c r="P5" s="26"/>
      <c r="R5" s="34"/>
      <c r="S5" s="97" t="s">
        <v>71</v>
      </c>
      <c r="T5" s="73"/>
      <c r="U5" s="34"/>
      <c r="V5" s="32"/>
      <c r="W5" s="73"/>
      <c r="X5" s="98"/>
      <c r="Y5" s="34"/>
      <c r="Z5" s="98"/>
      <c r="AA5" s="81"/>
      <c r="AD5" s="24"/>
      <c r="AG5" s="30"/>
      <c r="AI5" s="30"/>
      <c r="AK5" s="30"/>
    </row>
    <row r="6" customFormat="false" ht="11.45" hidden="false" customHeight="false" outlineLevel="0" collapsed="false">
      <c r="B6" s="92"/>
      <c r="C6" s="24" t="s">
        <v>72</v>
      </c>
      <c r="G6" s="23" t="s">
        <v>73</v>
      </c>
      <c r="H6" s="26"/>
      <c r="J6" s="92"/>
      <c r="K6" s="24" t="s">
        <v>74</v>
      </c>
      <c r="L6" s="24"/>
      <c r="N6" s="99" t="s">
        <v>75</v>
      </c>
      <c r="O6" s="99" t="s">
        <v>76</v>
      </c>
      <c r="P6" s="26"/>
      <c r="R6" s="92"/>
      <c r="S6" s="71" t="s">
        <v>77</v>
      </c>
      <c r="U6" s="54" t="n">
        <f aca="false">W!A108</f>
        <v>1300</v>
      </c>
      <c r="V6" s="100"/>
      <c r="W6" s="45" t="n">
        <f aca="false">W!A109</f>
        <v>950</v>
      </c>
      <c r="X6" s="30"/>
      <c r="Y6" s="54" t="n">
        <f aca="false">W!A110</f>
        <v>550</v>
      </c>
      <c r="Z6" s="30"/>
      <c r="AA6" s="26"/>
      <c r="AF6" s="45"/>
      <c r="AG6" s="30"/>
      <c r="AH6" s="45"/>
      <c r="AI6" s="30"/>
      <c r="AJ6" s="45"/>
      <c r="AK6" s="30"/>
    </row>
    <row r="7" customFormat="false" ht="11.45" hidden="false" customHeight="false" outlineLevel="0" collapsed="false">
      <c r="B7" s="92"/>
      <c r="C7" s="21" t="s">
        <v>78</v>
      </c>
      <c r="G7" s="21" t="n">
        <f aca="false">W!A281</f>
        <v>1000</v>
      </c>
      <c r="H7" s="26"/>
      <c r="J7" s="92"/>
      <c r="K7" s="21" t="s">
        <v>79</v>
      </c>
      <c r="N7" s="101" t="n">
        <f aca="false">W!A191</f>
        <v>17</v>
      </c>
      <c r="O7" s="101" t="n">
        <f aca="false">W!A192</f>
        <v>31</v>
      </c>
      <c r="P7" s="26"/>
      <c r="R7" s="92"/>
      <c r="S7" s="71" t="s">
        <v>80</v>
      </c>
      <c r="U7" s="54" t="n">
        <f aca="false">W!A111</f>
        <v>1336</v>
      </c>
      <c r="V7" s="100"/>
      <c r="W7" s="45" t="n">
        <f aca="false">W!A112</f>
        <v>978</v>
      </c>
      <c r="X7" s="30"/>
      <c r="Y7" s="54" t="n">
        <f aca="false">W!A113</f>
        <v>566</v>
      </c>
      <c r="Z7" s="30"/>
      <c r="AA7" s="26"/>
      <c r="AF7" s="45"/>
      <c r="AG7" s="30"/>
      <c r="AH7" s="45"/>
      <c r="AI7" s="30"/>
      <c r="AJ7" s="45"/>
      <c r="AK7" s="30"/>
    </row>
    <row r="8" customFormat="false" ht="12.75" hidden="false" customHeight="false" outlineLevel="0" collapsed="false">
      <c r="B8" s="92"/>
      <c r="C8" s="21" t="s">
        <v>81</v>
      </c>
      <c r="G8" s="21" t="n">
        <f aca="false">0.2*G7</f>
        <v>200</v>
      </c>
      <c r="H8" s="26"/>
      <c r="J8" s="92"/>
      <c r="K8" s="21" t="s">
        <v>82</v>
      </c>
      <c r="N8" s="101" t="n">
        <f aca="false">W!A193</f>
        <v>4</v>
      </c>
      <c r="O8" s="101" t="n">
        <f aca="false">W!A194</f>
        <v>1</v>
      </c>
      <c r="P8" s="26"/>
      <c r="R8" s="92"/>
      <c r="S8" s="71" t="s">
        <v>83</v>
      </c>
      <c r="U8" s="54" t="n">
        <f aca="false">W!A114</f>
        <v>36</v>
      </c>
      <c r="V8" s="100"/>
      <c r="W8" s="45" t="n">
        <f aca="false">W!A115</f>
        <v>28</v>
      </c>
      <c r="X8" s="30"/>
      <c r="Y8" s="54" t="n">
        <f aca="false">W!A116</f>
        <v>16</v>
      </c>
      <c r="Z8" s="30"/>
      <c r="AA8" s="26"/>
      <c r="AD8" s="102"/>
      <c r="AF8" s="45"/>
      <c r="AG8" s="30"/>
      <c r="AH8" s="45"/>
      <c r="AI8" s="30"/>
      <c r="AJ8" s="45"/>
      <c r="AK8" s="30"/>
    </row>
    <row r="9" customFormat="false" ht="11.45" hidden="false" customHeight="false" outlineLevel="0" collapsed="false">
      <c r="B9" s="92"/>
      <c r="C9" s="21" t="s">
        <v>84</v>
      </c>
      <c r="G9" s="21" t="n">
        <f aca="false">G7-G8-G10</f>
        <v>300</v>
      </c>
      <c r="H9" s="26"/>
      <c r="J9" s="92"/>
      <c r="K9" s="21" t="s">
        <v>85</v>
      </c>
      <c r="N9" s="101" t="n">
        <f aca="false">W!A82</f>
        <v>0</v>
      </c>
      <c r="O9" s="101"/>
      <c r="P9" s="26"/>
      <c r="R9" s="92"/>
      <c r="S9" s="71" t="s">
        <v>86</v>
      </c>
      <c r="U9" s="54" t="n">
        <f aca="false">W!A117</f>
        <v>0</v>
      </c>
      <c r="V9" s="103" t="n">
        <f aca="false">W!B117</f>
        <v>0</v>
      </c>
      <c r="W9" s="45" t="n">
        <f aca="false">W!A118</f>
        <v>0</v>
      </c>
      <c r="X9" s="33" t="n">
        <f aca="false">W!B118</f>
        <v>0</v>
      </c>
      <c r="Y9" s="54" t="n">
        <f aca="false">W!A119</f>
        <v>0</v>
      </c>
      <c r="Z9" s="33" t="n">
        <f aca="false">W!B119</f>
        <v>0</v>
      </c>
      <c r="AA9" s="26"/>
      <c r="AF9" s="45"/>
      <c r="AG9" s="33"/>
      <c r="AH9" s="45"/>
      <c r="AI9" s="33"/>
      <c r="AJ9" s="45"/>
      <c r="AK9" s="33"/>
    </row>
    <row r="10" customFormat="false" ht="11.45" hidden="false" customHeight="false" outlineLevel="0" collapsed="false">
      <c r="B10" s="92"/>
      <c r="C10" s="21" t="s">
        <v>87</v>
      </c>
      <c r="G10" s="21" t="n">
        <f aca="false">W!A284</f>
        <v>500</v>
      </c>
      <c r="H10" s="26"/>
      <c r="J10" s="92"/>
      <c r="K10" s="30" t="s">
        <v>88</v>
      </c>
      <c r="N10" s="101" t="n">
        <f aca="false">W!A195</f>
        <v>0</v>
      </c>
      <c r="O10" s="101" t="n">
        <f aca="false">W!A196</f>
        <v>0</v>
      </c>
      <c r="P10" s="26"/>
      <c r="R10" s="93"/>
      <c r="S10" s="63"/>
      <c r="T10" s="63"/>
      <c r="U10" s="93"/>
      <c r="V10" s="43"/>
      <c r="W10" s="63"/>
      <c r="X10" s="80"/>
      <c r="Y10" s="93"/>
      <c r="Z10" s="80"/>
      <c r="AA10" s="75"/>
      <c r="AG10" s="30"/>
      <c r="AI10" s="30"/>
      <c r="AK10" s="30"/>
    </row>
    <row r="11" customFormat="false" ht="11.45" hidden="false" customHeight="false" outlineLevel="0" collapsed="false">
      <c r="B11" s="92"/>
      <c r="C11" s="21" t="s">
        <v>89</v>
      </c>
      <c r="G11" s="21" t="n">
        <f aca="false">0.25*G10</f>
        <v>125</v>
      </c>
      <c r="H11" s="26"/>
      <c r="J11" s="92"/>
      <c r="K11" s="30" t="s">
        <v>90</v>
      </c>
      <c r="N11" s="101" t="n">
        <f aca="false">N7+N8+N9-N10-N12</f>
        <v>0</v>
      </c>
      <c r="O11" s="101" t="n">
        <f aca="false">O7+O8+O9-O10-O12</f>
        <v>5</v>
      </c>
      <c r="P11" s="26"/>
      <c r="R11" s="34"/>
      <c r="S11" s="97" t="s">
        <v>91</v>
      </c>
      <c r="T11" s="97"/>
      <c r="U11" s="34"/>
      <c r="V11" s="32"/>
      <c r="W11" s="73"/>
      <c r="X11" s="98"/>
      <c r="Y11" s="34"/>
      <c r="Z11" s="98"/>
      <c r="AA11" s="81"/>
      <c r="AD11" s="24"/>
      <c r="AE11" s="24"/>
      <c r="AG11" s="30"/>
      <c r="AI11" s="30"/>
      <c r="AK11" s="30"/>
    </row>
    <row r="12" customFormat="false" ht="11.45" hidden="false" customHeight="false" outlineLevel="0" collapsed="false">
      <c r="B12" s="92"/>
      <c r="C12" s="21" t="s">
        <v>92</v>
      </c>
      <c r="F12" s="21" t="s">
        <v>8</v>
      </c>
      <c r="G12" s="21" t="n">
        <f aca="false">W!A285</f>
        <v>100</v>
      </c>
      <c r="H12" s="26"/>
      <c r="J12" s="92"/>
      <c r="K12" s="21" t="s">
        <v>93</v>
      </c>
      <c r="N12" s="104" t="n">
        <f aca="false">W!A197</f>
        <v>21</v>
      </c>
      <c r="O12" s="104" t="n">
        <f aca="false">W!A198</f>
        <v>27</v>
      </c>
      <c r="P12" s="26"/>
      <c r="R12" s="92"/>
      <c r="S12" s="30" t="s">
        <v>94</v>
      </c>
      <c r="U12" s="54" t="n">
        <f aca="false">W!A121</f>
        <v>1000</v>
      </c>
      <c r="V12" s="100"/>
      <c r="W12" s="54" t="n">
        <f aca="false">W!A124</f>
        <v>700</v>
      </c>
      <c r="X12" s="30"/>
      <c r="Y12" s="54" t="n">
        <f aca="false">W!A127</f>
        <v>375</v>
      </c>
      <c r="Z12" s="30"/>
      <c r="AA12" s="26"/>
      <c r="AD12" s="30"/>
      <c r="AF12" s="45"/>
      <c r="AG12" s="30"/>
      <c r="AH12" s="45"/>
      <c r="AI12" s="30"/>
      <c r="AJ12" s="45"/>
      <c r="AK12" s="30"/>
    </row>
    <row r="13" customFormat="false" ht="11.45" hidden="false" customHeight="false" outlineLevel="0" collapsed="false">
      <c r="B13" s="92"/>
      <c r="C13" s="21" t="s">
        <v>95</v>
      </c>
      <c r="G13" s="21" t="n">
        <f aca="false">W!A286</f>
        <v>210</v>
      </c>
      <c r="H13" s="26"/>
      <c r="J13" s="93"/>
      <c r="K13" s="63"/>
      <c r="L13" s="63"/>
      <c r="M13" s="63"/>
      <c r="N13" s="63"/>
      <c r="O13" s="63"/>
      <c r="P13" s="75"/>
      <c r="R13" s="92"/>
      <c r="S13" s="105" t="s">
        <v>96</v>
      </c>
      <c r="U13" s="54" t="n">
        <f aca="false">W!A122</f>
        <v>100</v>
      </c>
      <c r="V13" s="100"/>
      <c r="W13" s="54" t="n">
        <f aca="false">W!A125</f>
        <v>100</v>
      </c>
      <c r="X13" s="30"/>
      <c r="Y13" s="54" t="n">
        <f aca="false">W!A128</f>
        <v>75</v>
      </c>
      <c r="Z13" s="30"/>
      <c r="AA13" s="26"/>
      <c r="AD13" s="105"/>
      <c r="AF13" s="45"/>
      <c r="AG13" s="30"/>
      <c r="AH13" s="45"/>
      <c r="AI13" s="30"/>
      <c r="AJ13" s="45"/>
      <c r="AK13" s="30"/>
    </row>
    <row r="14" customFormat="false" ht="11.45" hidden="false" customHeight="false" outlineLevel="0" collapsed="false">
      <c r="B14" s="92"/>
      <c r="C14" s="21" t="s">
        <v>97</v>
      </c>
      <c r="G14" s="106" t="n">
        <f aca="false">W!A287</f>
        <v>7</v>
      </c>
      <c r="H14" s="26"/>
      <c r="J14" s="92"/>
      <c r="O14" s="62"/>
      <c r="P14" s="26"/>
      <c r="R14" s="92"/>
      <c r="S14" s="30" t="s">
        <v>98</v>
      </c>
      <c r="U14" s="54" t="n">
        <f aca="false">W!A123</f>
        <v>200</v>
      </c>
      <c r="V14" s="100"/>
      <c r="W14" s="54" t="n">
        <f aca="false">W!A126</f>
        <v>150</v>
      </c>
      <c r="X14" s="30"/>
      <c r="Y14" s="54" t="n">
        <f aca="false">W!A129</f>
        <v>100</v>
      </c>
      <c r="Z14" s="30"/>
      <c r="AA14" s="26"/>
      <c r="AD14" s="30"/>
      <c r="AF14" s="45"/>
      <c r="AG14" s="30"/>
      <c r="AH14" s="45"/>
      <c r="AI14" s="30"/>
      <c r="AJ14" s="45"/>
      <c r="AK14" s="30"/>
    </row>
    <row r="15" customFormat="false" ht="11.45" hidden="false" customHeight="false" outlineLevel="0" collapsed="false">
      <c r="B15" s="92"/>
      <c r="C15" s="30" t="s">
        <v>99</v>
      </c>
      <c r="G15" s="106" t="n">
        <f aca="false">G10-SUM(G11:G14)</f>
        <v>58</v>
      </c>
      <c r="H15" s="26"/>
      <c r="J15" s="92"/>
      <c r="K15" s="24" t="s">
        <v>100</v>
      </c>
      <c r="O15" s="107" t="s">
        <v>101</v>
      </c>
      <c r="P15" s="26"/>
      <c r="R15" s="93"/>
      <c r="S15" s="63"/>
      <c r="T15" s="63"/>
      <c r="U15" s="93"/>
      <c r="V15" s="43"/>
      <c r="W15" s="63"/>
      <c r="X15" s="80"/>
      <c r="Y15" s="93"/>
      <c r="Z15" s="80"/>
      <c r="AA15" s="75"/>
      <c r="AG15" s="30"/>
      <c r="AI15" s="30"/>
      <c r="AK15" s="30"/>
    </row>
    <row r="16" customFormat="false" ht="11.45" hidden="false" customHeight="false" outlineLevel="0" collapsed="false">
      <c r="B16" s="92"/>
      <c r="H16" s="26"/>
      <c r="J16" s="92"/>
      <c r="K16" s="21" t="s">
        <v>102</v>
      </c>
      <c r="N16" s="45"/>
      <c r="O16" s="21" t="n">
        <f aca="false">W!A305</f>
        <v>9792</v>
      </c>
      <c r="P16" s="26"/>
      <c r="R16" s="34"/>
      <c r="S16" s="97" t="s">
        <v>103</v>
      </c>
      <c r="T16" s="97"/>
      <c r="U16" s="34"/>
      <c r="V16" s="32"/>
      <c r="W16" s="73"/>
      <c r="X16" s="98"/>
      <c r="Y16" s="34"/>
      <c r="Z16" s="98"/>
      <c r="AA16" s="81"/>
      <c r="AD16" s="24"/>
      <c r="AE16" s="24"/>
      <c r="AG16" s="30"/>
      <c r="AI16" s="30"/>
      <c r="AK16" s="30"/>
    </row>
    <row r="17" customFormat="false" ht="11.45" hidden="false" customHeight="false" outlineLevel="0" collapsed="false">
      <c r="B17" s="92"/>
      <c r="C17" s="24" t="s">
        <v>104</v>
      </c>
      <c r="G17" s="23" t="s">
        <v>105</v>
      </c>
      <c r="H17" s="26"/>
      <c r="J17" s="92"/>
      <c r="K17" s="21" t="s">
        <v>106</v>
      </c>
      <c r="O17" s="21" t="n">
        <f aca="false">W!A306</f>
        <v>208</v>
      </c>
      <c r="P17" s="103" t="n">
        <f aca="false">W!B307</f>
        <v>0</v>
      </c>
      <c r="R17" s="92"/>
      <c r="S17" s="21" t="s">
        <v>107</v>
      </c>
      <c r="U17" s="54" t="n">
        <f aca="false">W!A131</f>
        <v>930</v>
      </c>
      <c r="V17" s="100"/>
      <c r="W17" s="54" t="n">
        <f aca="false">W!A134</f>
        <v>668</v>
      </c>
      <c r="X17" s="30"/>
      <c r="Y17" s="54" t="n">
        <f aca="false">W!A137</f>
        <v>379</v>
      </c>
      <c r="Z17" s="30"/>
      <c r="AA17" s="26"/>
      <c r="AF17" s="45"/>
      <c r="AG17" s="30"/>
      <c r="AH17" s="45"/>
      <c r="AI17" s="30"/>
      <c r="AJ17" s="45"/>
      <c r="AK17" s="30"/>
    </row>
    <row r="18" customFormat="false" ht="11.45" hidden="false" customHeight="false" outlineLevel="0" collapsed="false">
      <c r="B18" s="92"/>
      <c r="C18" s="71" t="s">
        <v>108</v>
      </c>
      <c r="F18" s="45"/>
      <c r="G18" s="45" t="n">
        <f aca="false">W!A291</f>
        <v>0</v>
      </c>
      <c r="H18" s="26"/>
      <c r="J18" s="92"/>
      <c r="K18" s="30" t="s">
        <v>109</v>
      </c>
      <c r="O18" s="21" t="n">
        <f aca="false">W!A307</f>
        <v>8314</v>
      </c>
      <c r="P18" s="26"/>
      <c r="R18" s="92"/>
      <c r="S18" s="108" t="s">
        <v>110</v>
      </c>
      <c r="U18" s="54" t="n">
        <f aca="false">W!A132</f>
        <v>100</v>
      </c>
      <c r="V18" s="100"/>
      <c r="W18" s="54" t="n">
        <f aca="false">W!A135</f>
        <v>120</v>
      </c>
      <c r="X18" s="30"/>
      <c r="Y18" s="54" t="n">
        <f aca="false">W!A138</f>
        <v>61</v>
      </c>
      <c r="Z18" s="30"/>
      <c r="AA18" s="26"/>
      <c r="AD18" s="108"/>
      <c r="AF18" s="45"/>
      <c r="AG18" s="30"/>
      <c r="AH18" s="45"/>
      <c r="AI18" s="30"/>
      <c r="AJ18" s="45"/>
      <c r="AK18" s="30"/>
    </row>
    <row r="19" customFormat="false" ht="11.45" hidden="false" customHeight="false" outlineLevel="0" collapsed="false">
      <c r="B19" s="92"/>
      <c r="C19" s="71" t="s">
        <v>111</v>
      </c>
      <c r="G19" s="45" t="n">
        <f aca="false">W!A292</f>
        <v>4</v>
      </c>
      <c r="H19" s="26"/>
      <c r="J19" s="92"/>
      <c r="O19" s="107" t="s">
        <v>112</v>
      </c>
      <c r="P19" s="26"/>
      <c r="R19" s="92"/>
      <c r="S19" s="21" t="s">
        <v>113</v>
      </c>
      <c r="U19" s="54" t="n">
        <f aca="false">W!A133</f>
        <v>185</v>
      </c>
      <c r="V19" s="100"/>
      <c r="W19" s="54" t="n">
        <f aca="false">W!A136</f>
        <v>143</v>
      </c>
      <c r="X19" s="30"/>
      <c r="Y19" s="54" t="n">
        <f aca="false">W!A139</f>
        <v>75</v>
      </c>
      <c r="Z19" s="30"/>
      <c r="AA19" s="26"/>
      <c r="AF19" s="45"/>
      <c r="AG19" s="30"/>
      <c r="AH19" s="45"/>
      <c r="AI19" s="30"/>
      <c r="AJ19" s="45"/>
      <c r="AK19" s="30"/>
    </row>
    <row r="20" customFormat="false" ht="11.45" hidden="false" customHeight="false" outlineLevel="0" collapsed="false">
      <c r="B20" s="92"/>
      <c r="C20" s="71" t="s">
        <v>114</v>
      </c>
      <c r="F20" s="45"/>
      <c r="G20" s="45" t="n">
        <f aca="false">W!A293</f>
        <v>0</v>
      </c>
      <c r="H20" s="26"/>
      <c r="J20" s="92"/>
      <c r="K20" s="21" t="s">
        <v>115</v>
      </c>
      <c r="O20" s="45" t="n">
        <f aca="false">W!A308</f>
        <v>0</v>
      </c>
      <c r="P20" s="26"/>
      <c r="R20" s="93"/>
      <c r="S20" s="63"/>
      <c r="T20" s="63"/>
      <c r="U20" s="93"/>
      <c r="V20" s="43"/>
      <c r="W20" s="63"/>
      <c r="X20" s="80"/>
      <c r="Y20" s="93"/>
      <c r="Z20" s="80"/>
      <c r="AA20" s="75"/>
      <c r="AG20" s="30"/>
      <c r="AI20" s="30"/>
      <c r="AK20" s="30"/>
    </row>
    <row r="21" customFormat="false" ht="11.45" hidden="false" customHeight="false" outlineLevel="0" collapsed="false">
      <c r="B21" s="92"/>
      <c r="C21" s="71" t="s">
        <v>116</v>
      </c>
      <c r="G21" s="45" t="n">
        <f aca="false">W!A294</f>
        <v>4</v>
      </c>
      <c r="H21" s="26"/>
      <c r="J21" s="93"/>
      <c r="K21" s="63"/>
      <c r="L21" s="63"/>
      <c r="M21" s="63"/>
      <c r="N21" s="63"/>
      <c r="O21" s="63"/>
      <c r="P21" s="75"/>
      <c r="R21" s="34"/>
      <c r="S21" s="97" t="s">
        <v>117</v>
      </c>
      <c r="T21" s="73"/>
      <c r="U21" s="34"/>
      <c r="V21" s="32"/>
      <c r="W21" s="73"/>
      <c r="X21" s="98"/>
      <c r="Y21" s="34"/>
      <c r="Z21" s="98"/>
      <c r="AA21" s="81"/>
      <c r="AD21" s="24"/>
      <c r="AG21" s="30"/>
      <c r="AI21" s="30"/>
      <c r="AK21" s="30"/>
    </row>
    <row r="22" customFormat="false" ht="11.45" hidden="false" customHeight="false" outlineLevel="0" collapsed="false">
      <c r="B22" s="92"/>
      <c r="C22" s="24"/>
      <c r="D22" s="24"/>
      <c r="E22" s="24"/>
      <c r="F22" s="24"/>
      <c r="G22" s="24"/>
      <c r="H22" s="26"/>
      <c r="R22" s="92"/>
      <c r="S22" s="21" t="s">
        <v>107</v>
      </c>
      <c r="U22" s="54" t="n">
        <f aca="false">W!A141</f>
        <v>971</v>
      </c>
      <c r="V22" s="100"/>
      <c r="W22" s="54" t="n">
        <f aca="false">W!A144</f>
        <v>668</v>
      </c>
      <c r="X22" s="30"/>
      <c r="Y22" s="54" t="n">
        <f aca="false">W!A147</f>
        <v>379</v>
      </c>
      <c r="Z22" s="30"/>
      <c r="AA22" s="26"/>
      <c r="AF22" s="45"/>
      <c r="AG22" s="30"/>
      <c r="AH22" s="45"/>
      <c r="AI22" s="30"/>
      <c r="AJ22" s="45"/>
      <c r="AK22" s="30"/>
    </row>
    <row r="23" customFormat="false" ht="12.9" hidden="false" customHeight="false" outlineLevel="0" collapsed="false">
      <c r="B23" s="92"/>
      <c r="C23" s="71" t="s">
        <v>118</v>
      </c>
      <c r="F23" s="45"/>
      <c r="G23" s="45" t="n">
        <f aca="false">W!A301</f>
        <v>4272</v>
      </c>
      <c r="H23" s="53"/>
      <c r="R23" s="92"/>
      <c r="S23" s="108" t="s">
        <v>119</v>
      </c>
      <c r="U23" s="54" t="n">
        <f aca="false">W!A142</f>
        <v>100</v>
      </c>
      <c r="V23" s="100"/>
      <c r="W23" s="54" t="n">
        <f aca="false">W!A145</f>
        <v>100</v>
      </c>
      <c r="X23" s="30"/>
      <c r="Y23" s="54" t="n">
        <f aca="false">W!A148</f>
        <v>63</v>
      </c>
      <c r="Z23" s="30"/>
      <c r="AA23" s="26"/>
      <c r="AD23" s="108"/>
      <c r="AF23" s="45"/>
      <c r="AG23" s="30"/>
      <c r="AH23" s="45"/>
      <c r="AI23" s="30"/>
      <c r="AJ23" s="45"/>
      <c r="AK23" s="30"/>
    </row>
    <row r="24" customFormat="false" ht="11.45" hidden="false" customHeight="false" outlineLevel="0" collapsed="false">
      <c r="B24" s="92"/>
      <c r="C24" s="71" t="s">
        <v>120</v>
      </c>
      <c r="G24" s="45" t="n">
        <f aca="false">W!A302</f>
        <v>54</v>
      </c>
      <c r="H24" s="109" t="n">
        <f aca="false">W!B302</f>
        <v>0</v>
      </c>
      <c r="J24" s="34"/>
      <c r="K24" s="73"/>
      <c r="L24" s="73"/>
      <c r="M24" s="73"/>
      <c r="N24" s="37"/>
      <c r="O24" s="37"/>
      <c r="P24" s="81"/>
      <c r="R24" s="92"/>
      <c r="S24" s="21" t="s">
        <v>113</v>
      </c>
      <c r="U24" s="54" t="n">
        <f aca="false">W!A143</f>
        <v>185</v>
      </c>
      <c r="V24" s="100"/>
      <c r="W24" s="54" t="n">
        <f aca="false">W!A146</f>
        <v>143</v>
      </c>
      <c r="X24" s="30"/>
      <c r="Y24" s="54" t="n">
        <f aca="false">W!A149</f>
        <v>75</v>
      </c>
      <c r="Z24" s="30"/>
      <c r="AA24" s="26"/>
      <c r="AF24" s="45"/>
      <c r="AG24" s="30"/>
      <c r="AH24" s="45"/>
      <c r="AI24" s="30"/>
      <c r="AJ24" s="45"/>
      <c r="AK24" s="30"/>
    </row>
    <row r="25" customFormat="false" ht="11.45" hidden="false" customHeight="false" outlineLevel="0" collapsed="false">
      <c r="B25" s="92"/>
      <c r="C25" s="65" t="s">
        <v>121</v>
      </c>
      <c r="G25" s="45" t="n">
        <f aca="false">W!A303</f>
        <v>3873</v>
      </c>
      <c r="H25" s="26"/>
      <c r="J25" s="92"/>
      <c r="K25" s="25" t="s">
        <v>122</v>
      </c>
      <c r="L25" s="24"/>
      <c r="M25" s="110" t="s">
        <v>19</v>
      </c>
      <c r="N25" s="111" t="s">
        <v>21</v>
      </c>
      <c r="O25" s="111" t="s">
        <v>23</v>
      </c>
      <c r="P25" s="112"/>
      <c r="R25" s="93"/>
      <c r="S25" s="63"/>
      <c r="T25" s="63"/>
      <c r="U25" s="93"/>
      <c r="V25" s="43"/>
      <c r="W25" s="63"/>
      <c r="X25" s="80"/>
      <c r="Y25" s="93"/>
      <c r="Z25" s="80"/>
      <c r="AA25" s="75"/>
      <c r="AG25" s="30"/>
      <c r="AI25" s="30"/>
      <c r="AK25" s="30"/>
    </row>
    <row r="26" customFormat="false" ht="11.45" hidden="false" customHeight="false" outlineLevel="0" collapsed="false">
      <c r="B26" s="92"/>
      <c r="C26" s="71" t="s">
        <v>123</v>
      </c>
      <c r="G26" s="45" t="n">
        <f aca="false">G19*W!A75-G24</f>
        <v>26</v>
      </c>
      <c r="H26" s="26"/>
      <c r="J26" s="92"/>
      <c r="K26" s="65" t="s">
        <v>124</v>
      </c>
      <c r="M26" s="101" t="n">
        <f aca="false">W!A321</f>
        <v>3</v>
      </c>
      <c r="N26" s="101" t="n">
        <f aca="false">W!A322</f>
        <v>1</v>
      </c>
      <c r="O26" s="45" t="n">
        <f aca="false">IF(W!A327&gt;0,1,0)</f>
        <v>1</v>
      </c>
      <c r="P26" s="112"/>
      <c r="R26" s="34"/>
      <c r="S26" s="97" t="s">
        <v>125</v>
      </c>
      <c r="T26" s="97"/>
      <c r="U26" s="34"/>
      <c r="V26" s="32"/>
      <c r="W26" s="73"/>
      <c r="X26" s="98"/>
      <c r="Y26" s="34"/>
      <c r="Z26" s="98"/>
      <c r="AA26" s="81"/>
      <c r="AD26" s="24"/>
      <c r="AE26" s="24"/>
      <c r="AG26" s="30"/>
      <c r="AI26" s="30"/>
      <c r="AK26" s="30"/>
    </row>
    <row r="27" customFormat="false" ht="11.45" hidden="false" customHeight="false" outlineLevel="0" collapsed="false">
      <c r="B27" s="92"/>
      <c r="C27" s="71" t="s">
        <v>126</v>
      </c>
      <c r="G27" s="113" t="str">
        <f aca="false">W!A304</f>
        <v> 95.2</v>
      </c>
      <c r="H27" s="26"/>
      <c r="J27" s="92"/>
      <c r="K27" s="65" t="s">
        <v>127</v>
      </c>
      <c r="M27" s="101" t="n">
        <f aca="false">W!A323</f>
        <v>0</v>
      </c>
      <c r="N27" s="101" t="n">
        <f aca="false">W!A324</f>
        <v>0</v>
      </c>
      <c r="O27" s="45"/>
      <c r="P27" s="112"/>
      <c r="R27" s="92"/>
      <c r="S27" s="21" t="s">
        <v>107</v>
      </c>
      <c r="U27" s="54" t="n">
        <f aca="false">W!A151</f>
        <v>0</v>
      </c>
      <c r="V27" s="100"/>
      <c r="W27" s="54" t="n">
        <f aca="false">W!A154</f>
        <v>0</v>
      </c>
      <c r="X27" s="30"/>
      <c r="Y27" s="54" t="n">
        <f aca="false">W!A157</f>
        <v>0</v>
      </c>
      <c r="Z27" s="30"/>
      <c r="AA27" s="26"/>
      <c r="AF27" s="45"/>
      <c r="AG27" s="30"/>
      <c r="AH27" s="45"/>
      <c r="AI27" s="30"/>
      <c r="AJ27" s="45"/>
      <c r="AK27" s="30"/>
    </row>
    <row r="28" customFormat="false" ht="11.45" hidden="false" customHeight="false" outlineLevel="0" collapsed="false">
      <c r="B28" s="92"/>
      <c r="H28" s="26"/>
      <c r="J28" s="92"/>
      <c r="K28" s="65" t="s">
        <v>128</v>
      </c>
      <c r="M28" s="101" t="n">
        <f aca="false">MAX(M26-M27-M30,0)</f>
        <v>0</v>
      </c>
      <c r="N28" s="101" t="n">
        <f aca="false">MAX(N26-N27-N30,0)</f>
        <v>0</v>
      </c>
      <c r="O28" s="101" t="n">
        <f aca="false">O26-O30</f>
        <v>0</v>
      </c>
      <c r="P28" s="112"/>
      <c r="R28" s="92"/>
      <c r="S28" s="108" t="s">
        <v>110</v>
      </c>
      <c r="U28" s="54" t="n">
        <f aca="false">W!A152</f>
        <v>3</v>
      </c>
      <c r="V28" s="100"/>
      <c r="W28" s="54" t="n">
        <f aca="false">W!A155</f>
        <v>10</v>
      </c>
      <c r="X28" s="30"/>
      <c r="Y28" s="54" t="n">
        <f aca="false">W!A158</f>
        <v>0</v>
      </c>
      <c r="Z28" s="30"/>
      <c r="AA28" s="26"/>
      <c r="AD28" s="108"/>
      <c r="AF28" s="45"/>
      <c r="AG28" s="30"/>
      <c r="AH28" s="45"/>
      <c r="AI28" s="30"/>
      <c r="AJ28" s="45"/>
      <c r="AK28" s="30"/>
    </row>
    <row r="29" customFormat="false" ht="11.45" hidden="false" customHeight="false" outlineLevel="0" collapsed="false">
      <c r="B29" s="92"/>
      <c r="C29" s="24" t="s">
        <v>129</v>
      </c>
      <c r="D29" s="24"/>
      <c r="E29" s="24"/>
      <c r="H29" s="26"/>
      <c r="J29" s="92"/>
      <c r="K29" s="65" t="s">
        <v>130</v>
      </c>
      <c r="M29" s="101" t="n">
        <f aca="false">MAX(M30-M26+M27,0)</f>
        <v>0</v>
      </c>
      <c r="N29" s="101" t="n">
        <f aca="false">MAX(N30-N26+N27,0)</f>
        <v>0</v>
      </c>
      <c r="O29" s="101" t="n">
        <f aca="false">O30-O26</f>
        <v>0</v>
      </c>
      <c r="P29" s="112"/>
      <c r="R29" s="93"/>
      <c r="S29" s="63"/>
      <c r="T29" s="63"/>
      <c r="U29" s="93"/>
      <c r="V29" s="43"/>
      <c r="W29" s="63"/>
      <c r="X29" s="80"/>
      <c r="Y29" s="93"/>
      <c r="Z29" s="80"/>
      <c r="AA29" s="75"/>
      <c r="AG29" s="30"/>
      <c r="AI29" s="30"/>
      <c r="AK29" s="30"/>
    </row>
    <row r="30" customFormat="false" ht="11.45" hidden="false" customHeight="false" outlineLevel="0" collapsed="false">
      <c r="B30" s="92"/>
      <c r="C30" s="71" t="s">
        <v>131</v>
      </c>
      <c r="F30" s="45"/>
      <c r="G30" s="45" t="n">
        <f aca="false">W!A311</f>
        <v>1458</v>
      </c>
      <c r="H30" s="26"/>
      <c r="J30" s="92"/>
      <c r="K30" s="65" t="s">
        <v>132</v>
      </c>
      <c r="M30" s="104" t="n">
        <f aca="false">W!A325</f>
        <v>3</v>
      </c>
      <c r="N30" s="104" t="n">
        <f aca="false">W!A326</f>
        <v>1</v>
      </c>
      <c r="O30" s="42" t="n">
        <f aca="false">IF(W!A328&gt;0,1,0)</f>
        <v>1</v>
      </c>
      <c r="P30" s="112"/>
      <c r="R30" s="92"/>
      <c r="S30" s="24" t="s">
        <v>133</v>
      </c>
      <c r="T30" s="24"/>
      <c r="U30" s="92"/>
      <c r="V30" s="100"/>
      <c r="X30" s="30"/>
      <c r="Y30" s="92"/>
      <c r="Z30" s="30"/>
      <c r="AA30" s="26"/>
      <c r="AD30" s="24"/>
      <c r="AE30" s="24"/>
      <c r="AG30" s="30"/>
      <c r="AI30" s="30"/>
      <c r="AK30" s="30"/>
    </row>
    <row r="31" customFormat="false" ht="11.45" hidden="false" customHeight="false" outlineLevel="0" collapsed="false">
      <c r="B31" s="92"/>
      <c r="C31" s="71" t="s">
        <v>134</v>
      </c>
      <c r="F31" s="45"/>
      <c r="G31" s="45" t="n">
        <f aca="false">1000*W!A57+W!A312</f>
        <v>5000</v>
      </c>
      <c r="H31" s="26"/>
      <c r="J31" s="93"/>
      <c r="K31" s="63"/>
      <c r="L31" s="63"/>
      <c r="M31" s="63"/>
      <c r="N31" s="63"/>
      <c r="O31" s="63"/>
      <c r="P31" s="75"/>
      <c r="R31" s="92"/>
      <c r="S31" s="21" t="s">
        <v>107</v>
      </c>
      <c r="U31" s="54" t="n">
        <f aca="false">W!A161</f>
        <v>29</v>
      </c>
      <c r="V31" s="100"/>
      <c r="W31" s="54" t="n">
        <f aca="false">W!A164</f>
        <v>32</v>
      </c>
      <c r="X31" s="30"/>
      <c r="Y31" s="54" t="n">
        <f aca="false">W!A167</f>
        <v>202</v>
      </c>
      <c r="Z31" s="30"/>
      <c r="AA31" s="26"/>
      <c r="AF31" s="45"/>
      <c r="AG31" s="30"/>
      <c r="AH31" s="45"/>
      <c r="AI31" s="30"/>
      <c r="AJ31" s="45"/>
      <c r="AK31" s="30"/>
    </row>
    <row r="32" customFormat="false" ht="11.45" hidden="false" customHeight="false" outlineLevel="0" collapsed="false">
      <c r="B32" s="92"/>
      <c r="C32" s="71" t="s">
        <v>135</v>
      </c>
      <c r="G32" s="45" t="n">
        <f aca="false">W!A313</f>
        <v>0</v>
      </c>
      <c r="H32" s="26"/>
      <c r="M32" s="21" t="s">
        <v>8</v>
      </c>
      <c r="R32" s="92"/>
      <c r="S32" s="108" t="s">
        <v>110</v>
      </c>
      <c r="U32" s="54" t="n">
        <f aca="false">W!A162</f>
        <v>0</v>
      </c>
      <c r="V32" s="100"/>
      <c r="W32" s="54" t="n">
        <f aca="false">W!A165</f>
        <v>0</v>
      </c>
      <c r="X32" s="30"/>
      <c r="Y32" s="54" t="n">
        <f aca="false">W!A168</f>
        <v>12</v>
      </c>
      <c r="Z32" s="30"/>
      <c r="AA32" s="26"/>
      <c r="AD32" s="108"/>
      <c r="AF32" s="45"/>
      <c r="AG32" s="30"/>
      <c r="AH32" s="45"/>
      <c r="AI32" s="30"/>
      <c r="AJ32" s="45"/>
      <c r="AK32" s="30"/>
    </row>
    <row r="33" customFormat="false" ht="11.45" hidden="false" customHeight="false" outlineLevel="0" collapsed="false">
      <c r="B33" s="92"/>
      <c r="C33" s="71" t="s">
        <v>136</v>
      </c>
      <c r="G33" s="45" t="n">
        <f aca="false">W!A314</f>
        <v>0</v>
      </c>
      <c r="H33" s="114" t="n">
        <f aca="false">W!B313</f>
        <v>0</v>
      </c>
      <c r="R33" s="92"/>
      <c r="S33" s="21" t="s">
        <v>113</v>
      </c>
      <c r="U33" s="54" t="n">
        <f aca="false">W!A163</f>
        <v>15</v>
      </c>
      <c r="V33" s="100"/>
      <c r="W33" s="54" t="n">
        <f aca="false">W!A166</f>
        <v>7</v>
      </c>
      <c r="X33" s="30"/>
      <c r="Y33" s="54" t="n">
        <f aca="false">W!A169</f>
        <v>25</v>
      </c>
      <c r="Z33" s="30"/>
      <c r="AA33" s="26"/>
      <c r="AF33" s="45"/>
      <c r="AG33" s="30"/>
      <c r="AH33" s="45"/>
      <c r="AI33" s="30"/>
      <c r="AJ33" s="45"/>
      <c r="AK33" s="30"/>
    </row>
    <row r="34" customFormat="false" ht="11.45" hidden="false" customHeight="false" outlineLevel="0" collapsed="false">
      <c r="B34" s="92"/>
      <c r="C34" s="71" t="s">
        <v>137</v>
      </c>
      <c r="G34" s="45" t="n">
        <f aca="false">W!A315</f>
        <v>4990</v>
      </c>
      <c r="H34" s="26"/>
      <c r="J34" s="34"/>
      <c r="K34" s="73"/>
      <c r="L34" s="73"/>
      <c r="M34" s="73"/>
      <c r="N34" s="37"/>
      <c r="O34" s="37"/>
      <c r="P34" s="81"/>
      <c r="R34" s="93"/>
      <c r="S34" s="63"/>
      <c r="T34" s="63"/>
      <c r="U34" s="93"/>
      <c r="V34" s="43"/>
      <c r="W34" s="63"/>
      <c r="X34" s="80"/>
      <c r="Y34" s="93"/>
      <c r="Z34" s="80"/>
      <c r="AA34" s="75"/>
      <c r="AG34" s="30"/>
      <c r="AI34" s="30"/>
      <c r="AK34" s="30"/>
    </row>
    <row r="35" customFormat="false" ht="11.45" hidden="false" customHeight="false" outlineLevel="0" collapsed="false">
      <c r="B35" s="92"/>
      <c r="C35" s="71" t="s">
        <v>138</v>
      </c>
      <c r="G35" s="45" t="n">
        <f aca="false">W!A316</f>
        <v>1468</v>
      </c>
      <c r="H35" s="26"/>
      <c r="J35" s="92"/>
      <c r="K35" s="24" t="s">
        <v>139</v>
      </c>
      <c r="L35" s="24"/>
      <c r="M35" s="110" t="s">
        <v>19</v>
      </c>
      <c r="N35" s="115" t="s">
        <v>21</v>
      </c>
      <c r="O35" s="116" t="s">
        <v>23</v>
      </c>
      <c r="P35" s="26"/>
      <c r="R35" s="34"/>
      <c r="S35" s="97"/>
      <c r="T35" s="97"/>
      <c r="U35" s="34"/>
      <c r="V35" s="32"/>
      <c r="W35" s="73"/>
      <c r="X35" s="32"/>
      <c r="Z35" s="98"/>
      <c r="AA35" s="81"/>
      <c r="AD35" s="24"/>
      <c r="AE35" s="24"/>
      <c r="AG35" s="30"/>
      <c r="AI35" s="30"/>
      <c r="AK35" s="30"/>
    </row>
    <row r="36" customFormat="false" ht="11.45" hidden="false" customHeight="false" outlineLevel="0" collapsed="false">
      <c r="B36" s="92"/>
      <c r="C36" s="65" t="s">
        <v>140</v>
      </c>
      <c r="G36" s="45"/>
      <c r="H36" s="26"/>
      <c r="J36" s="92"/>
      <c r="K36" s="21" t="s">
        <v>141</v>
      </c>
      <c r="M36" s="54" t="n">
        <f aca="false">W!A295</f>
        <v>1381</v>
      </c>
      <c r="N36" s="54" t="n">
        <f aca="false">W!A297</f>
        <v>500</v>
      </c>
      <c r="O36" s="101" t="n">
        <f aca="false">W!A299</f>
        <v>300</v>
      </c>
      <c r="P36" s="26"/>
      <c r="R36" s="92"/>
      <c r="S36" s="24" t="s">
        <v>142</v>
      </c>
      <c r="T36" s="117"/>
      <c r="U36" s="45" t="n">
        <f aca="false">W!A171</f>
        <v>76</v>
      </c>
      <c r="V36" s="103" t="str">
        <f aca="false">W!B171</f>
        <v>!</v>
      </c>
      <c r="W36" s="45" t="n">
        <f aca="false">W!A172</f>
        <v>19</v>
      </c>
      <c r="X36" s="103" t="n">
        <f aca="false">W!B172</f>
        <v>0</v>
      </c>
      <c r="Y36" s="45" t="n">
        <f aca="false">W!A173</f>
        <v>12</v>
      </c>
      <c r="Z36" s="33" t="n">
        <f aca="false">W!B173</f>
        <v>0</v>
      </c>
      <c r="AA36" s="26"/>
      <c r="AD36" s="24"/>
      <c r="AE36" s="24"/>
      <c r="AF36" s="45"/>
      <c r="AG36" s="33"/>
      <c r="AH36" s="45"/>
      <c r="AI36" s="33"/>
      <c r="AJ36" s="45"/>
      <c r="AK36" s="33"/>
    </row>
    <row r="37" customFormat="false" ht="11.45" hidden="false" customHeight="false" outlineLevel="0" collapsed="false">
      <c r="B37" s="92"/>
      <c r="C37" s="71" t="s">
        <v>143</v>
      </c>
      <c r="G37" s="45" t="n">
        <f aca="false">1000*W!A58</f>
        <v>0</v>
      </c>
      <c r="H37" s="26"/>
      <c r="J37" s="92"/>
      <c r="K37" s="21" t="s">
        <v>144</v>
      </c>
      <c r="M37" s="104" t="n">
        <f aca="false">W!A296</f>
        <v>8</v>
      </c>
      <c r="N37" s="104" t="n">
        <f aca="false">W!A298</f>
        <v>2</v>
      </c>
      <c r="O37" s="104" t="n">
        <f aca="false">W!A300</f>
        <v>2</v>
      </c>
      <c r="P37" s="26"/>
      <c r="R37" s="93"/>
      <c r="S37" s="118" t="s">
        <v>145</v>
      </c>
      <c r="T37" s="63"/>
      <c r="U37" s="93"/>
      <c r="V37" s="43"/>
      <c r="W37" s="63"/>
      <c r="X37" s="80"/>
      <c r="Y37" s="93"/>
      <c r="Z37" s="80"/>
      <c r="AA37" s="75"/>
      <c r="AG37" s="30"/>
      <c r="AI37" s="30"/>
      <c r="AK37" s="30"/>
    </row>
    <row r="38" customFormat="false" ht="11.45" hidden="false" customHeight="false" outlineLevel="0" collapsed="false">
      <c r="B38" s="92"/>
      <c r="C38" s="71" t="s">
        <v>146</v>
      </c>
      <c r="G38" s="45" t="n">
        <f aca="false">W!A317</f>
        <v>0</v>
      </c>
      <c r="H38" s="26"/>
      <c r="J38" s="93"/>
      <c r="K38" s="63"/>
      <c r="L38" s="63"/>
      <c r="M38" s="63"/>
      <c r="N38" s="63"/>
      <c r="O38" s="63"/>
      <c r="P38" s="75"/>
      <c r="R38" s="34"/>
      <c r="S38" s="119"/>
      <c r="T38" s="97"/>
      <c r="U38" s="34"/>
      <c r="V38" s="32"/>
      <c r="W38" s="73"/>
      <c r="X38" s="98"/>
      <c r="Y38" s="34"/>
      <c r="Z38" s="98"/>
      <c r="AA38" s="81"/>
      <c r="AD38" s="25"/>
      <c r="AE38" s="24"/>
      <c r="AG38" s="30"/>
      <c r="AI38" s="30"/>
      <c r="AK38" s="30"/>
    </row>
    <row r="39" customFormat="false" ht="11.45" hidden="false" customHeight="false" outlineLevel="0" collapsed="false">
      <c r="B39" s="92"/>
      <c r="C39" s="65" t="s">
        <v>147</v>
      </c>
      <c r="G39" s="45" t="n">
        <f aca="false">1000*W!A59</f>
        <v>0</v>
      </c>
      <c r="H39" s="26"/>
      <c r="R39" s="92"/>
      <c r="S39" s="24" t="s">
        <v>148</v>
      </c>
      <c r="T39" s="24"/>
      <c r="U39" s="120" t="str">
        <f aca="false">W!A177</f>
        <v>Major</v>
      </c>
      <c r="V39" s="100"/>
      <c r="W39" s="120" t="str">
        <f aca="false">W!A178</f>
        <v>Minor</v>
      </c>
      <c r="X39" s="30"/>
      <c r="Y39" s="120" t="str">
        <f aca="false">W!A179</f>
        <v>Minor</v>
      </c>
      <c r="Z39" s="30"/>
      <c r="AA39" s="26"/>
      <c r="AD39" s="24"/>
      <c r="AE39" s="24"/>
      <c r="AF39" s="45"/>
      <c r="AG39" s="30"/>
      <c r="AH39" s="45"/>
      <c r="AI39" s="30"/>
      <c r="AJ39" s="45"/>
      <c r="AK39" s="30"/>
    </row>
    <row r="40" customFormat="false" ht="9" hidden="false" customHeight="true" outlineLevel="0" collapsed="false">
      <c r="B40" s="92"/>
      <c r="H40" s="26"/>
      <c r="R40" s="93"/>
      <c r="S40" s="63"/>
      <c r="T40" s="121"/>
      <c r="U40" s="63"/>
      <c r="V40" s="43"/>
      <c r="W40" s="63"/>
      <c r="X40" s="43"/>
      <c r="Y40" s="63"/>
      <c r="Z40" s="80"/>
      <c r="AA40" s="75"/>
      <c r="AE40" s="24"/>
      <c r="AG40" s="30"/>
      <c r="AI40" s="30"/>
      <c r="AK40" s="30"/>
    </row>
    <row r="41" customFormat="false" ht="11.45" hidden="false" customHeight="false" outlineLevel="0" collapsed="false">
      <c r="B41" s="92"/>
      <c r="C41" s="24" t="s">
        <v>149</v>
      </c>
      <c r="H41" s="26"/>
      <c r="J41" s="34"/>
      <c r="K41" s="73"/>
      <c r="L41" s="73"/>
      <c r="M41" s="73"/>
      <c r="N41" s="73"/>
      <c r="O41" s="73"/>
      <c r="P41" s="81"/>
      <c r="R41" s="92"/>
      <c r="S41" s="24" t="s">
        <v>150</v>
      </c>
      <c r="U41" s="54"/>
      <c r="V41" s="100"/>
      <c r="W41" s="45"/>
      <c r="X41" s="30"/>
      <c r="Y41" s="54"/>
      <c r="Z41" s="30"/>
      <c r="AA41" s="26"/>
      <c r="AD41" s="24"/>
      <c r="AF41" s="45"/>
      <c r="AG41" s="30"/>
      <c r="AH41" s="45"/>
      <c r="AI41" s="30"/>
      <c r="AJ41" s="45"/>
      <c r="AK41" s="30"/>
    </row>
    <row r="42" customFormat="false" ht="11.45" hidden="false" customHeight="false" outlineLevel="0" collapsed="false">
      <c r="B42" s="92"/>
      <c r="C42" s="71" t="s">
        <v>151</v>
      </c>
      <c r="G42" s="45" t="n">
        <f aca="false">W!A318</f>
        <v>5</v>
      </c>
      <c r="H42" s="26"/>
      <c r="J42" s="92"/>
      <c r="K42" s="24" t="s">
        <v>152</v>
      </c>
      <c r="N42" s="23" t="s">
        <v>153</v>
      </c>
      <c r="P42" s="26"/>
      <c r="R42" s="92"/>
      <c r="S42" s="71" t="s">
        <v>154</v>
      </c>
      <c r="U42" s="54" t="n">
        <f aca="false">W!A181</f>
        <v>0</v>
      </c>
      <c r="V42" s="100"/>
      <c r="W42" s="45" t="n">
        <f aca="false">W!A182</f>
        <v>0</v>
      </c>
      <c r="X42" s="30"/>
      <c r="Y42" s="54" t="n">
        <f aca="false">W!A183</f>
        <v>0</v>
      </c>
      <c r="Z42" s="30"/>
      <c r="AA42" s="26"/>
      <c r="AF42" s="45"/>
      <c r="AG42" s="30"/>
      <c r="AH42" s="45"/>
      <c r="AI42" s="30"/>
      <c r="AJ42" s="45"/>
      <c r="AK42" s="30"/>
    </row>
    <row r="43" customFormat="false" ht="11.45" hidden="false" customHeight="false" outlineLevel="0" collapsed="false">
      <c r="B43" s="92"/>
      <c r="C43" s="71" t="s">
        <v>155</v>
      </c>
      <c r="G43" s="45" t="n">
        <f aca="false">W!A319</f>
        <v>6897</v>
      </c>
      <c r="H43" s="26"/>
      <c r="J43" s="92"/>
      <c r="K43" s="71" t="s">
        <v>156</v>
      </c>
      <c r="N43" s="122" t="n">
        <f aca="false">0.00019*50*G10</f>
        <v>4.75</v>
      </c>
      <c r="P43" s="26"/>
      <c r="R43" s="92"/>
      <c r="S43" s="71" t="s">
        <v>157</v>
      </c>
      <c r="U43" s="54" t="n">
        <f aca="false">W!A54</f>
        <v>0</v>
      </c>
      <c r="V43" s="100"/>
      <c r="W43" s="54" t="n">
        <f aca="false">W!A55</f>
        <v>0</v>
      </c>
      <c r="X43" s="30"/>
      <c r="Y43" s="54" t="n">
        <f aca="false">W!A56</f>
        <v>0</v>
      </c>
      <c r="Z43" s="30"/>
      <c r="AA43" s="26"/>
      <c r="AF43" s="45"/>
      <c r="AG43" s="30"/>
      <c r="AH43" s="45"/>
      <c r="AI43" s="30"/>
      <c r="AJ43" s="45"/>
      <c r="AK43" s="30"/>
    </row>
    <row r="44" customFormat="false" ht="11.45" hidden="false" customHeight="false" outlineLevel="0" collapsed="false">
      <c r="B44" s="92"/>
      <c r="C44" s="71" t="s">
        <v>158</v>
      </c>
      <c r="G44" s="45" t="n">
        <f aca="false">100-W!A320/10</f>
        <v>0.0999999999999943</v>
      </c>
      <c r="H44" s="26"/>
      <c r="J44" s="92"/>
      <c r="K44" s="71" t="s">
        <v>159</v>
      </c>
      <c r="N44" s="123" t="n">
        <f aca="false">0.00052*(6*G25+O18)</f>
        <v>16.40704</v>
      </c>
      <c r="P44" s="26"/>
      <c r="R44" s="92"/>
      <c r="S44" s="71" t="s">
        <v>160</v>
      </c>
      <c r="U44" s="54" t="n">
        <f aca="false">W!A184</f>
        <v>0</v>
      </c>
      <c r="V44" s="100"/>
      <c r="W44" s="45" t="n">
        <f aca="false">W!A185</f>
        <v>0</v>
      </c>
      <c r="X44" s="30"/>
      <c r="Y44" s="54" t="n">
        <f aca="false">W!A186</f>
        <v>0</v>
      </c>
      <c r="Z44" s="30"/>
      <c r="AA44" s="26"/>
      <c r="AF44" s="45"/>
      <c r="AG44" s="30"/>
      <c r="AH44" s="45"/>
      <c r="AI44" s="30"/>
      <c r="AJ44" s="45"/>
      <c r="AK44" s="30"/>
    </row>
    <row r="45" customFormat="false" ht="11.45" hidden="false" customHeight="false" outlineLevel="0" collapsed="false">
      <c r="B45" s="92"/>
      <c r="C45" s="71" t="s">
        <v>161</v>
      </c>
      <c r="G45" s="45" t="n">
        <f aca="false">W!A329</f>
        <v>56</v>
      </c>
      <c r="H45" s="26"/>
      <c r="J45" s="92"/>
      <c r="K45" s="71" t="s">
        <v>162</v>
      </c>
      <c r="N45" s="122" t="n">
        <f aca="false">N43+N44</f>
        <v>21.15704</v>
      </c>
      <c r="P45" s="26"/>
      <c r="R45" s="92"/>
      <c r="S45" s="71" t="s">
        <v>163</v>
      </c>
      <c r="U45" s="54" t="n">
        <f aca="false">W!A187</f>
        <v>0</v>
      </c>
      <c r="V45" s="100"/>
      <c r="W45" s="45" t="n">
        <f aca="false">W!A188</f>
        <v>0</v>
      </c>
      <c r="X45" s="30"/>
      <c r="Y45" s="54" t="n">
        <f aca="false">W!A189</f>
        <v>0</v>
      </c>
      <c r="Z45" s="30"/>
      <c r="AA45" s="26"/>
      <c r="AF45" s="45"/>
      <c r="AG45" s="30"/>
      <c r="AH45" s="45"/>
      <c r="AI45" s="30"/>
      <c r="AJ45" s="45"/>
      <c r="AK45" s="30"/>
    </row>
    <row r="46" customFormat="false" ht="8.25" hidden="false" customHeight="true" outlineLevel="0" collapsed="false">
      <c r="B46" s="93"/>
      <c r="C46" s="63"/>
      <c r="D46" s="63"/>
      <c r="E46" s="63"/>
      <c r="F46" s="63"/>
      <c r="G46" s="63"/>
      <c r="H46" s="75"/>
      <c r="J46" s="93"/>
      <c r="K46" s="63"/>
      <c r="L46" s="63"/>
      <c r="M46" s="63"/>
      <c r="N46" s="63"/>
      <c r="O46" s="63"/>
      <c r="P46" s="75"/>
      <c r="R46" s="93"/>
      <c r="S46" s="63"/>
      <c r="T46" s="63"/>
      <c r="U46" s="93"/>
      <c r="V46" s="43"/>
      <c r="W46" s="63"/>
      <c r="X46" s="80"/>
      <c r="Y46" s="93"/>
      <c r="Z46" s="80"/>
      <c r="AA46" s="75"/>
      <c r="AG46" s="30"/>
      <c r="AI46" s="30"/>
      <c r="AK46" s="30"/>
    </row>
    <row r="47" customFormat="false" ht="37.5" hidden="false" customHeight="true" outlineLevel="0" collapsed="false">
      <c r="B47" s="124" t="s">
        <v>62</v>
      </c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</row>
    <row r="48" customFormat="false" ht="11.25" hidden="false" customHeight="false" outlineLevel="0" collapsed="false">
      <c r="D48" s="71"/>
      <c r="M48" s="66"/>
    </row>
    <row r="51" customFormat="false" ht="11.25" hidden="false" customHeight="false" outlineLevel="0" collapsed="false">
      <c r="I51" s="21" t="s">
        <v>8</v>
      </c>
    </row>
  </sheetData>
  <mergeCells count="1">
    <mergeCell ref="B47:AA47"/>
  </mergeCells>
  <printOptions headings="false" gridLines="false" gridLinesSet="true" horizontalCentered="false" verticalCentered="false"/>
  <pageMargins left="0.354166666666667" right="0.157638888888889" top="0.590277777777778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09375" defaultRowHeight="9.75" customHeight="false" zeroHeight="false" outlineLevelRow="0" outlineLevelCol="0"/>
  <cols>
    <col collapsed="false" customWidth="true" hidden="false" outlineLevel="0" max="2" min="1" style="71" width="1.44"/>
    <col collapsed="false" customWidth="true" hidden="false" outlineLevel="0" max="6" min="3" style="71" width="7.67"/>
    <col collapsed="false" customWidth="true" hidden="false" outlineLevel="0" max="8" min="7" style="71" width="1.67"/>
    <col collapsed="false" customWidth="true" hidden="false" outlineLevel="0" max="12" min="9" style="71" width="7.67"/>
    <col collapsed="false" customWidth="true" hidden="false" outlineLevel="0" max="14" min="13" style="71" width="1.44"/>
    <col collapsed="false" customWidth="true" hidden="false" outlineLevel="0" max="18" min="15" style="71" width="7.67"/>
    <col collapsed="false" customWidth="true" hidden="false" outlineLevel="0" max="20" min="19" style="71" width="1.44"/>
    <col collapsed="false" customWidth="true" hidden="false" outlineLevel="0" max="24" min="21" style="71" width="7.67"/>
    <col collapsed="false" customWidth="true" hidden="false" outlineLevel="0" max="25" min="25" style="71" width="1.44"/>
    <col collapsed="false" customWidth="false" hidden="false" outlineLevel="0" max="16384" min="26" style="71" width="9.11"/>
  </cols>
  <sheetData>
    <row r="1" customFormat="false" ht="15" hidden="false" customHeight="false" outlineLevel="0" collapsed="false">
      <c r="D1" s="17" t="s">
        <v>3</v>
      </c>
      <c r="E1" s="16" t="n">
        <f aca="false">W!A1</f>
        <v>0</v>
      </c>
      <c r="F1" s="125" t="s">
        <v>2</v>
      </c>
      <c r="G1" s="21"/>
      <c r="I1" s="16" t="n">
        <f aca="false">W!A2</f>
        <v>0</v>
      </c>
      <c r="J1" s="21"/>
      <c r="K1" s="21"/>
      <c r="L1" s="21"/>
      <c r="M1" s="91" t="s">
        <v>164</v>
      </c>
      <c r="N1" s="21"/>
      <c r="O1" s="21"/>
      <c r="P1" s="21"/>
      <c r="Q1" s="21"/>
      <c r="S1" s="21"/>
      <c r="U1" s="15" t="s">
        <v>6</v>
      </c>
      <c r="V1" s="16" t="n">
        <f aca="false">W!A4</f>
        <v>2026</v>
      </c>
      <c r="W1" s="17" t="s">
        <v>7</v>
      </c>
      <c r="X1" s="16" t="n">
        <f aca="false">W!A5</f>
        <v>1</v>
      </c>
    </row>
    <row r="2" customFormat="false" ht="10.25" hidden="false" customHeight="false" outlineLevel="0" collapsed="false"/>
    <row r="3" customFormat="false" ht="10.25" hidden="false" customHeight="false" outlineLevel="0" collapsed="false">
      <c r="B3" s="126"/>
      <c r="C3" s="127"/>
      <c r="D3" s="127"/>
      <c r="E3" s="127"/>
      <c r="F3" s="127"/>
      <c r="G3" s="128"/>
      <c r="H3" s="127"/>
      <c r="I3" s="127"/>
      <c r="J3" s="127"/>
      <c r="K3" s="129"/>
      <c r="L3" s="129"/>
      <c r="M3" s="130"/>
      <c r="N3" s="129"/>
      <c r="O3" s="129"/>
      <c r="P3" s="129"/>
      <c r="Q3" s="129"/>
      <c r="R3" s="129"/>
      <c r="S3" s="131"/>
      <c r="T3" s="132"/>
      <c r="U3" s="129"/>
      <c r="V3" s="129"/>
      <c r="W3" s="129"/>
      <c r="X3" s="129"/>
      <c r="Y3" s="130"/>
    </row>
    <row r="4" customFormat="false" ht="10.25" hidden="false" customHeight="false" outlineLevel="0" collapsed="false">
      <c r="B4" s="133"/>
      <c r="C4" s="134" t="s">
        <v>165</v>
      </c>
      <c r="D4" s="134"/>
      <c r="E4" s="134"/>
      <c r="F4" s="135" t="s">
        <v>166</v>
      </c>
      <c r="G4" s="136"/>
      <c r="H4" s="134"/>
      <c r="I4" s="134"/>
      <c r="J4" s="134"/>
      <c r="M4" s="137"/>
      <c r="S4" s="138"/>
      <c r="T4" s="65"/>
      <c r="Y4" s="137"/>
    </row>
    <row r="5" customFormat="false" ht="10.25" hidden="false" customHeight="false" outlineLevel="0" collapsed="false">
      <c r="B5" s="133"/>
      <c r="C5" s="134"/>
      <c r="D5" s="134"/>
      <c r="E5" s="134"/>
      <c r="F5" s="134"/>
      <c r="G5" s="136"/>
      <c r="H5" s="134"/>
      <c r="I5" s="134"/>
      <c r="J5" s="134"/>
      <c r="M5" s="137"/>
      <c r="S5" s="138"/>
      <c r="T5" s="65"/>
      <c r="U5" s="71" t="s">
        <v>167</v>
      </c>
      <c r="Y5" s="137"/>
    </row>
    <row r="6" customFormat="false" ht="10.25" hidden="false" customHeight="false" outlineLevel="0" collapsed="false">
      <c r="B6" s="133"/>
      <c r="C6" s="71" t="s">
        <v>168</v>
      </c>
      <c r="D6" s="134"/>
      <c r="E6" s="134"/>
      <c r="F6" s="139"/>
      <c r="G6" s="136"/>
      <c r="H6" s="134"/>
      <c r="I6" s="71" t="s">
        <v>169</v>
      </c>
      <c r="J6" s="134"/>
      <c r="L6" s="139"/>
      <c r="M6" s="137"/>
      <c r="O6" s="71" t="s">
        <v>170</v>
      </c>
      <c r="P6" s="134"/>
      <c r="R6" s="139"/>
      <c r="S6" s="137"/>
      <c r="U6" s="71" t="s">
        <v>171</v>
      </c>
      <c r="X6" s="139"/>
      <c r="Y6" s="137"/>
    </row>
    <row r="7" customFormat="false" ht="10.25" hidden="false" customHeight="false" outlineLevel="0" collapsed="false">
      <c r="B7" s="133"/>
      <c r="C7" s="134"/>
      <c r="D7" s="134"/>
      <c r="E7" s="134"/>
      <c r="F7" s="139"/>
      <c r="G7" s="136"/>
      <c r="H7" s="134"/>
      <c r="I7" s="134"/>
      <c r="J7" s="134"/>
      <c r="L7" s="139"/>
      <c r="M7" s="137"/>
      <c r="O7" s="134"/>
      <c r="P7" s="134"/>
      <c r="R7" s="139"/>
      <c r="S7" s="137"/>
      <c r="U7" s="134"/>
      <c r="X7" s="139"/>
      <c r="Y7" s="137"/>
    </row>
    <row r="8" customFormat="false" ht="10.25" hidden="false" customHeight="false" outlineLevel="0" collapsed="false">
      <c r="B8" s="133"/>
      <c r="C8" s="71" t="s">
        <v>172</v>
      </c>
      <c r="F8" s="140" t="n">
        <f aca="false">W!A201</f>
        <v>90000</v>
      </c>
      <c r="G8" s="137"/>
      <c r="I8" s="71" t="s">
        <v>173</v>
      </c>
      <c r="L8" s="140" t="n">
        <f aca="false">W!A241</f>
        <v>1267611</v>
      </c>
      <c r="M8" s="137"/>
      <c r="O8" s="134" t="s">
        <v>174</v>
      </c>
      <c r="P8" s="134"/>
      <c r="S8" s="137"/>
      <c r="U8" s="134" t="s">
        <v>26</v>
      </c>
      <c r="Y8" s="137"/>
    </row>
    <row r="9" customFormat="false" ht="11.75" hidden="false" customHeight="false" outlineLevel="0" collapsed="false">
      <c r="B9" s="133"/>
      <c r="C9" s="141" t="s">
        <v>175</v>
      </c>
      <c r="F9" s="140" t="n">
        <f aca="false">W!A202</f>
        <v>19856</v>
      </c>
      <c r="G9" s="137"/>
      <c r="L9" s="140"/>
      <c r="M9" s="137"/>
      <c r="O9" s="71" t="s">
        <v>176</v>
      </c>
      <c r="R9" s="71" t="n">
        <f aca="false">W!A261</f>
        <v>50000</v>
      </c>
      <c r="S9" s="137"/>
      <c r="U9" s="71" t="s">
        <v>177</v>
      </c>
      <c r="X9" s="140" t="n">
        <f aca="false">W!A221</f>
        <v>1311528</v>
      </c>
      <c r="Y9" s="137"/>
    </row>
    <row r="10" customFormat="false" ht="10.25" hidden="false" customHeight="false" outlineLevel="0" collapsed="false">
      <c r="B10" s="133"/>
      <c r="C10" s="71" t="s">
        <v>178</v>
      </c>
      <c r="F10" s="140" t="n">
        <f aca="false">W!A203</f>
        <v>11513</v>
      </c>
      <c r="G10" s="137"/>
      <c r="I10" s="71" t="s">
        <v>179</v>
      </c>
      <c r="L10" s="140" t="n">
        <f aca="false">W!A242</f>
        <v>132744</v>
      </c>
      <c r="M10" s="137"/>
      <c r="O10" s="71" t="s">
        <v>180</v>
      </c>
      <c r="R10" s="71" t="n">
        <f aca="false">W!A262</f>
        <v>250000</v>
      </c>
      <c r="S10" s="137"/>
      <c r="U10" s="71" t="s">
        <v>181</v>
      </c>
      <c r="X10" s="140" t="n">
        <f aca="false">W!A222</f>
        <v>1274</v>
      </c>
      <c r="Y10" s="137"/>
    </row>
    <row r="11" customFormat="false" ht="10.25" hidden="false" customHeight="false" outlineLevel="0" collapsed="false">
      <c r="B11" s="133"/>
      <c r="C11" s="71" t="s">
        <v>182</v>
      </c>
      <c r="F11" s="140" t="n">
        <f aca="false">W!A204</f>
        <v>116975</v>
      </c>
      <c r="G11" s="137"/>
      <c r="I11" s="71" t="s">
        <v>183</v>
      </c>
      <c r="L11" s="140" t="n">
        <f aca="false">W!A243</f>
        <v>0</v>
      </c>
      <c r="M11" s="137"/>
      <c r="O11" s="71" t="s">
        <v>184</v>
      </c>
      <c r="R11" s="142" t="n">
        <f aca="false">W!A263</f>
        <v>1070870</v>
      </c>
      <c r="S11" s="137"/>
      <c r="U11" s="71" t="s">
        <v>185</v>
      </c>
      <c r="X11" s="140" t="n">
        <f aca="false">W!A223</f>
        <v>1035012</v>
      </c>
      <c r="Y11" s="137"/>
    </row>
    <row r="12" customFormat="false" ht="10.25" hidden="false" customHeight="false" outlineLevel="0" collapsed="false">
      <c r="B12" s="133"/>
      <c r="C12" s="71" t="s">
        <v>186</v>
      </c>
      <c r="F12" s="140" t="n">
        <f aca="false">W!A205</f>
        <v>12676</v>
      </c>
      <c r="G12" s="137"/>
      <c r="I12" s="71" t="s">
        <v>187</v>
      </c>
      <c r="L12" s="140" t="n">
        <f aca="false">W!A244</f>
        <v>227045</v>
      </c>
      <c r="M12" s="137"/>
      <c r="O12" s="71" t="s">
        <v>188</v>
      </c>
      <c r="R12" s="140" t="n">
        <f aca="false">SUM(R9:R11)</f>
        <v>1370870</v>
      </c>
      <c r="S12" s="137"/>
      <c r="U12" s="71" t="s">
        <v>189</v>
      </c>
      <c r="X12" s="143" t="n">
        <f aca="false">W!A224</f>
        <v>0</v>
      </c>
      <c r="Y12" s="137"/>
    </row>
    <row r="13" customFormat="false" ht="10.25" hidden="false" customHeight="false" outlineLevel="0" collapsed="false">
      <c r="B13" s="133"/>
      <c r="C13" s="71" t="s">
        <v>190</v>
      </c>
      <c r="F13" s="140" t="n">
        <f aca="false">W!A206</f>
        <v>9675</v>
      </c>
      <c r="G13" s="137"/>
      <c r="I13" s="71" t="s">
        <v>191</v>
      </c>
      <c r="L13" s="140" t="n">
        <f aca="false">W!A245</f>
        <v>72784</v>
      </c>
      <c r="M13" s="137"/>
      <c r="S13" s="137"/>
      <c r="U13" s="71" t="s">
        <v>192</v>
      </c>
      <c r="X13" s="71" t="n">
        <f aca="false">X9+X10-X11-X12</f>
        <v>277790</v>
      </c>
      <c r="Y13" s="137"/>
    </row>
    <row r="14" customFormat="false" ht="10.25" hidden="false" customHeight="false" outlineLevel="0" collapsed="false">
      <c r="B14" s="133"/>
      <c r="C14" s="71" t="s">
        <v>193</v>
      </c>
      <c r="F14" s="140" t="n">
        <f aca="false">W!A207</f>
        <v>55000</v>
      </c>
      <c r="G14" s="137"/>
      <c r="I14" s="71" t="s">
        <v>194</v>
      </c>
      <c r="L14" s="140" t="n">
        <f aca="false">W!A246</f>
        <v>179974</v>
      </c>
      <c r="M14" s="137"/>
      <c r="O14" s="134" t="s">
        <v>195</v>
      </c>
      <c r="S14" s="137"/>
      <c r="Y14" s="137"/>
    </row>
    <row r="15" customFormat="false" ht="10.25" hidden="false" customHeight="false" outlineLevel="0" collapsed="false">
      <c r="B15" s="133"/>
      <c r="C15" s="141" t="s">
        <v>196</v>
      </c>
      <c r="F15" s="140" t="n">
        <f aca="false">W!A208</f>
        <v>15000</v>
      </c>
      <c r="G15" s="137"/>
      <c r="I15" s="71" t="s">
        <v>197</v>
      </c>
      <c r="L15" s="140" t="n">
        <f aca="false">W!A247</f>
        <v>106812</v>
      </c>
      <c r="M15" s="137"/>
      <c r="O15" s="71" t="s">
        <v>198</v>
      </c>
      <c r="R15" s="140" t="n">
        <f aca="false">W!A265</f>
        <v>83141</v>
      </c>
      <c r="S15" s="137"/>
      <c r="U15" s="134" t="s">
        <v>199</v>
      </c>
      <c r="Y15" s="137"/>
    </row>
    <row r="16" customFormat="false" ht="10.25" hidden="false" customHeight="false" outlineLevel="0" collapsed="false">
      <c r="B16" s="133"/>
      <c r="C16" s="71" t="s">
        <v>200</v>
      </c>
      <c r="F16" s="140" t="n">
        <f aca="false">W!A209</f>
        <v>9000</v>
      </c>
      <c r="G16" s="137"/>
      <c r="I16" s="71" t="s">
        <v>201</v>
      </c>
      <c r="L16" s="140" t="n">
        <f aca="false">W!A248</f>
        <v>2880</v>
      </c>
      <c r="M16" s="137"/>
      <c r="O16" s="71" t="s">
        <v>202</v>
      </c>
      <c r="R16" s="140" t="n">
        <f aca="false">W!A266</f>
        <v>0</v>
      </c>
      <c r="S16" s="137"/>
      <c r="U16" s="71" t="s">
        <v>203</v>
      </c>
      <c r="X16" s="140" t="n">
        <f aca="false">W!A225</f>
        <v>5750</v>
      </c>
      <c r="Y16" s="137"/>
    </row>
    <row r="17" customFormat="false" ht="10.25" hidden="false" customHeight="false" outlineLevel="0" collapsed="false">
      <c r="B17" s="133"/>
      <c r="C17" s="71" t="s">
        <v>204</v>
      </c>
      <c r="F17" s="140" t="n">
        <f aca="false">W!A210</f>
        <v>6800</v>
      </c>
      <c r="G17" s="137"/>
      <c r="I17" s="71" t="s">
        <v>205</v>
      </c>
      <c r="L17" s="140" t="n">
        <f aca="false">W!A249</f>
        <v>40700</v>
      </c>
      <c r="M17" s="137"/>
      <c r="O17" s="71" t="s">
        <v>206</v>
      </c>
      <c r="R17" s="140" t="n">
        <f aca="false">W!A267</f>
        <v>53248</v>
      </c>
      <c r="S17" s="137"/>
      <c r="U17" s="71" t="s">
        <v>207</v>
      </c>
      <c r="X17" s="140" t="n">
        <f aca="false">W!A226</f>
        <v>0</v>
      </c>
      <c r="Y17" s="137"/>
    </row>
    <row r="18" customFormat="false" ht="10.25" hidden="false" customHeight="false" outlineLevel="0" collapsed="false">
      <c r="B18" s="133"/>
      <c r="C18" s="71" t="s">
        <v>208</v>
      </c>
      <c r="F18" s="140" t="n">
        <f aca="false">W!A211</f>
        <v>8531</v>
      </c>
      <c r="G18" s="137"/>
      <c r="I18" s="65" t="s">
        <v>209</v>
      </c>
      <c r="L18" s="143" t="n">
        <f aca="false">W!A250</f>
        <v>136389</v>
      </c>
      <c r="M18" s="137"/>
      <c r="O18" s="71" t="s">
        <v>210</v>
      </c>
      <c r="R18" s="140" t="n">
        <f aca="false">W!A268</f>
        <v>783183</v>
      </c>
      <c r="S18" s="137"/>
      <c r="U18" s="71" t="s">
        <v>211</v>
      </c>
      <c r="X18" s="143" t="n">
        <f aca="false">W!A227</f>
        <v>0</v>
      </c>
      <c r="Y18" s="137"/>
    </row>
    <row r="19" customFormat="false" ht="10.25" hidden="false" customHeight="false" outlineLevel="0" collapsed="false">
      <c r="B19" s="133"/>
      <c r="C19" s="71" t="s">
        <v>212</v>
      </c>
      <c r="F19" s="140" t="n">
        <f aca="false">W!A212</f>
        <v>7500</v>
      </c>
      <c r="G19" s="137"/>
      <c r="I19" s="71" t="s">
        <v>213</v>
      </c>
      <c r="L19" s="144" t="n">
        <f aca="false">W!A251</f>
        <v>626550</v>
      </c>
      <c r="M19" s="137"/>
      <c r="O19" s="71" t="s">
        <v>214</v>
      </c>
      <c r="R19" s="143" t="n">
        <f aca="false">W!A269</f>
        <v>1150000</v>
      </c>
      <c r="S19" s="137"/>
      <c r="U19" s="71" t="s">
        <v>215</v>
      </c>
      <c r="X19" s="71" t="n">
        <f aca="false">X16+X17-X18</f>
        <v>5750</v>
      </c>
      <c r="Y19" s="137"/>
    </row>
    <row r="20" customFormat="false" ht="10.25" hidden="false" customHeight="false" outlineLevel="0" collapsed="false">
      <c r="B20" s="133"/>
      <c r="C20" s="71" t="s">
        <v>216</v>
      </c>
      <c r="F20" s="140" t="n">
        <f aca="false">W!A213</f>
        <v>2684</v>
      </c>
      <c r="G20" s="137"/>
      <c r="I20" s="71" t="s">
        <v>217</v>
      </c>
      <c r="L20" s="140" t="n">
        <f aca="false">W!A252</f>
        <v>641061</v>
      </c>
      <c r="M20" s="137"/>
      <c r="O20" s="71" t="s">
        <v>218</v>
      </c>
      <c r="R20" s="145" t="n">
        <f aca="false">SUM(R15:R19)</f>
        <v>2069572</v>
      </c>
      <c r="S20" s="137"/>
      <c r="Y20" s="137"/>
    </row>
    <row r="21" customFormat="false" ht="10.25" hidden="false" customHeight="false" outlineLevel="0" collapsed="false">
      <c r="B21" s="133"/>
      <c r="C21" s="71" t="s">
        <v>219</v>
      </c>
      <c r="F21" s="140" t="n">
        <f aca="false">W!A214</f>
        <v>9186</v>
      </c>
      <c r="G21" s="137"/>
      <c r="I21" s="71" t="s">
        <v>220</v>
      </c>
      <c r="L21" s="140" t="n">
        <f aca="false">W!A217</f>
        <v>465242</v>
      </c>
      <c r="M21" s="137"/>
      <c r="O21" s="71" t="s">
        <v>221</v>
      </c>
      <c r="R21" s="140" t="n">
        <f aca="false">R12+R20</f>
        <v>3440442</v>
      </c>
      <c r="S21" s="137"/>
      <c r="U21" s="134" t="s">
        <v>222</v>
      </c>
      <c r="Y21" s="137"/>
    </row>
    <row r="22" customFormat="false" ht="10.25" hidden="false" customHeight="false" outlineLevel="0" collapsed="false">
      <c r="B22" s="133"/>
      <c r="C22" s="71" t="s">
        <v>223</v>
      </c>
      <c r="F22" s="140" t="n">
        <f aca="false">W!A215</f>
        <v>80000</v>
      </c>
      <c r="G22" s="137"/>
      <c r="I22" s="71" t="s">
        <v>181</v>
      </c>
      <c r="L22" s="140" t="n">
        <f aca="false">W!A222</f>
        <v>1274</v>
      </c>
      <c r="M22" s="137"/>
      <c r="S22" s="137"/>
      <c r="U22" s="71" t="s">
        <v>224</v>
      </c>
      <c r="X22" s="140" t="n">
        <f aca="false">W!A228</f>
        <v>0</v>
      </c>
      <c r="Y22" s="137"/>
    </row>
    <row r="23" customFormat="false" ht="10.25" hidden="false" customHeight="false" outlineLevel="0" collapsed="false">
      <c r="B23" s="133"/>
      <c r="C23" s="71" t="s">
        <v>225</v>
      </c>
      <c r="F23" s="143" t="n">
        <f aca="false">W!A216</f>
        <v>10846</v>
      </c>
      <c r="G23" s="137"/>
      <c r="I23" s="71" t="s">
        <v>226</v>
      </c>
      <c r="L23" s="142" t="n">
        <f aca="false">W!A254</f>
        <v>27458</v>
      </c>
      <c r="M23" s="137"/>
      <c r="O23" s="134" t="s">
        <v>227</v>
      </c>
      <c r="R23" s="140"/>
      <c r="S23" s="137"/>
      <c r="U23" s="71" t="s">
        <v>228</v>
      </c>
      <c r="X23" s="140" t="n">
        <f aca="false">W!A229</f>
        <v>0</v>
      </c>
      <c r="Y23" s="137"/>
    </row>
    <row r="24" customFormat="false" ht="10.25" hidden="false" customHeight="false" outlineLevel="0" collapsed="false">
      <c r="B24" s="133"/>
      <c r="C24" s="71" t="s">
        <v>229</v>
      </c>
      <c r="D24" s="134"/>
      <c r="F24" s="143" t="n">
        <f aca="false">W!A217</f>
        <v>465242</v>
      </c>
      <c r="G24" s="137"/>
      <c r="I24" s="71" t="s">
        <v>230</v>
      </c>
      <c r="L24" s="140" t="n">
        <f aca="false">L20-L21+L22-L23</f>
        <v>149635</v>
      </c>
      <c r="M24" s="137"/>
      <c r="O24" s="71" t="s">
        <v>231</v>
      </c>
      <c r="R24" s="140" t="n">
        <f aca="false">W!A271</f>
        <v>0</v>
      </c>
      <c r="S24" s="137"/>
      <c r="U24" s="71" t="s">
        <v>232</v>
      </c>
      <c r="X24" s="140" t="n">
        <f aca="false">W!A230</f>
        <v>0</v>
      </c>
      <c r="Y24" s="137"/>
    </row>
    <row r="25" customFormat="false" ht="11.75" hidden="false" customHeight="false" outlineLevel="0" collapsed="false">
      <c r="B25" s="133"/>
      <c r="F25" s="146"/>
      <c r="G25" s="137"/>
      <c r="I25" s="71" t="s">
        <v>203</v>
      </c>
      <c r="L25" s="140" t="n">
        <f aca="false">W!A225</f>
        <v>5750</v>
      </c>
      <c r="M25" s="137"/>
      <c r="O25" s="141" t="s">
        <v>233</v>
      </c>
      <c r="R25" s="140" t="n">
        <f aca="false">W!A272</f>
        <v>284228</v>
      </c>
      <c r="S25" s="137"/>
      <c r="U25" s="71" t="s">
        <v>234</v>
      </c>
      <c r="X25" s="140" t="n">
        <f aca="false">W!A231</f>
        <v>0</v>
      </c>
      <c r="Y25" s="137"/>
    </row>
    <row r="26" customFormat="false" ht="10.25" hidden="false" customHeight="false" outlineLevel="0" collapsed="false">
      <c r="B26" s="133"/>
      <c r="C26" s="134" t="s">
        <v>235</v>
      </c>
      <c r="F26" s="140"/>
      <c r="G26" s="137"/>
      <c r="I26" s="71" t="s">
        <v>236</v>
      </c>
      <c r="L26" s="143" t="n">
        <f aca="false">W!A232</f>
        <v>3606</v>
      </c>
      <c r="M26" s="137"/>
      <c r="O26" s="71" t="s">
        <v>237</v>
      </c>
      <c r="R26" s="143" t="n">
        <f aca="false">W!A273</f>
        <v>97987</v>
      </c>
      <c r="S26" s="137"/>
      <c r="U26" s="71" t="s">
        <v>236</v>
      </c>
      <c r="X26" s="143" t="n">
        <f aca="false">W!A232</f>
        <v>3606</v>
      </c>
      <c r="Y26" s="137"/>
    </row>
    <row r="27" customFormat="false" ht="10.25" hidden="false" customHeight="false" outlineLevel="0" collapsed="false">
      <c r="B27" s="133"/>
      <c r="C27" s="71" t="s">
        <v>238</v>
      </c>
      <c r="F27" s="71" t="n">
        <f aca="false">L27</f>
        <v>151779</v>
      </c>
      <c r="G27" s="137"/>
      <c r="I27" s="71" t="s">
        <v>239</v>
      </c>
      <c r="L27" s="71" t="n">
        <f aca="false">L24+L25-L26</f>
        <v>151779</v>
      </c>
      <c r="M27" s="137"/>
      <c r="O27" s="65" t="s">
        <v>240</v>
      </c>
      <c r="R27" s="140" t="n">
        <f aca="false">SUM(R24:R26)</f>
        <v>382215</v>
      </c>
      <c r="S27" s="137"/>
      <c r="U27" s="71" t="s">
        <v>241</v>
      </c>
      <c r="X27" s="71" t="n">
        <f aca="false">X22-X23-X24+X25-X26</f>
        <v>-3606</v>
      </c>
      <c r="Y27" s="137"/>
    </row>
    <row r="28" customFormat="false" ht="10.25" hidden="false" customHeight="false" outlineLevel="0" collapsed="false">
      <c r="B28" s="133"/>
      <c r="C28" s="71" t="s">
        <v>242</v>
      </c>
      <c r="F28" s="143" t="n">
        <f aca="false">W!A240</f>
        <v>-93552</v>
      </c>
      <c r="G28" s="137"/>
      <c r="I28" s="71" t="s">
        <v>243</v>
      </c>
      <c r="L28" s="143" t="n">
        <f aca="false">W!A255</f>
        <v>0</v>
      </c>
      <c r="M28" s="137"/>
      <c r="O28" s="71" t="s">
        <v>244</v>
      </c>
      <c r="R28" s="140" t="n">
        <f aca="false">W!A274</f>
        <v>0</v>
      </c>
      <c r="S28" s="137"/>
      <c r="X28" s="147"/>
      <c r="Y28" s="137"/>
    </row>
    <row r="29" customFormat="false" ht="10.25" hidden="false" customHeight="false" outlineLevel="0" collapsed="false">
      <c r="B29" s="133"/>
      <c r="C29" s="71" t="s">
        <v>245</v>
      </c>
      <c r="F29" s="71" t="n">
        <f aca="false">W!A257</f>
        <v>58227</v>
      </c>
      <c r="G29" s="137"/>
      <c r="I29" s="71" t="s">
        <v>246</v>
      </c>
      <c r="L29" s="140" t="n">
        <f aca="false">W!A256</f>
        <v>151779</v>
      </c>
      <c r="M29" s="137"/>
      <c r="S29" s="137"/>
      <c r="U29" s="71" t="s">
        <v>247</v>
      </c>
      <c r="X29" s="71" t="n">
        <f aca="false">W!A233</f>
        <v>279934</v>
      </c>
      <c r="Y29" s="137"/>
    </row>
    <row r="30" customFormat="false" ht="10.25" hidden="false" customHeight="false" outlineLevel="0" collapsed="false">
      <c r="B30" s="133"/>
      <c r="G30" s="137"/>
      <c r="I30" s="71" t="s">
        <v>248</v>
      </c>
      <c r="L30" s="148" t="n">
        <f aca="false">IF(R33&gt;0,100*L29/R33,0)</f>
        <v>5.0593</v>
      </c>
      <c r="M30" s="137"/>
      <c r="O30" s="71" t="s">
        <v>249</v>
      </c>
      <c r="R30" s="140" t="n">
        <f aca="false">R21-R27-R28</f>
        <v>3058227</v>
      </c>
      <c r="S30" s="137"/>
      <c r="U30" s="71" t="s">
        <v>250</v>
      </c>
      <c r="X30" s="142" t="n">
        <f aca="false">W!A234</f>
        <v>772079</v>
      </c>
      <c r="Y30" s="137"/>
    </row>
    <row r="31" customFormat="false" ht="10.25" hidden="false" customHeight="false" outlineLevel="0" collapsed="false">
      <c r="B31" s="133"/>
      <c r="G31" s="137"/>
      <c r="M31" s="137"/>
      <c r="S31" s="137"/>
      <c r="U31" s="71" t="s">
        <v>251</v>
      </c>
      <c r="X31" s="71" t="n">
        <f aca="false">R19-R26</f>
        <v>1052013</v>
      </c>
      <c r="Y31" s="137"/>
    </row>
    <row r="32" customFormat="false" ht="10.25" hidden="false" customHeight="false" outlineLevel="0" collapsed="false">
      <c r="B32" s="133"/>
      <c r="G32" s="137"/>
      <c r="I32" s="65" t="s">
        <v>252</v>
      </c>
      <c r="L32" s="143" t="n">
        <f aca="false">W!A230</f>
        <v>0</v>
      </c>
      <c r="M32" s="137"/>
      <c r="O32" s="134" t="s">
        <v>253</v>
      </c>
      <c r="S32" s="137"/>
      <c r="U32" s="71" t="s">
        <v>254</v>
      </c>
      <c r="X32" s="71" t="n">
        <f aca="false">W!A270</f>
        <v>1150000</v>
      </c>
      <c r="Y32" s="137" t="s">
        <v>255</v>
      </c>
    </row>
    <row r="33" customFormat="false" ht="10.25" hidden="false" customHeight="false" outlineLevel="0" collapsed="false">
      <c r="B33" s="133"/>
      <c r="C33" s="71" t="s">
        <v>256</v>
      </c>
      <c r="F33" s="140" t="n">
        <f aca="false">W!A219</f>
        <v>2805</v>
      </c>
      <c r="G33" s="137"/>
      <c r="I33" s="71" t="s">
        <v>257</v>
      </c>
      <c r="L33" s="140" t="n">
        <f aca="false">L29-L32</f>
        <v>151779</v>
      </c>
      <c r="M33" s="137"/>
      <c r="O33" s="65" t="s">
        <v>258</v>
      </c>
      <c r="R33" s="140" t="n">
        <f aca="false">W!A275</f>
        <v>3000000</v>
      </c>
      <c r="S33" s="137"/>
      <c r="Y33" s="137"/>
    </row>
    <row r="34" customFormat="false" ht="10.25" hidden="false" customHeight="false" outlineLevel="0" collapsed="false">
      <c r="B34" s="133"/>
      <c r="C34" s="71" t="s">
        <v>259</v>
      </c>
      <c r="F34" s="140" t="n">
        <f aca="false">W!A220</f>
        <v>1531</v>
      </c>
      <c r="G34" s="137"/>
      <c r="I34" s="71" t="s">
        <v>260</v>
      </c>
      <c r="L34" s="143" t="n">
        <f aca="false">W!A260</f>
        <v>-93552</v>
      </c>
      <c r="M34" s="137"/>
      <c r="O34" s="71" t="s">
        <v>261</v>
      </c>
      <c r="R34" s="140" t="n">
        <f aca="false">W!A276</f>
        <v>0</v>
      </c>
      <c r="S34" s="137"/>
      <c r="U34" s="71" t="s">
        <v>262</v>
      </c>
      <c r="X34" s="71" t="n">
        <f aca="false">W!A238</f>
        <v>639000</v>
      </c>
      <c r="Y34" s="137"/>
    </row>
    <row r="35" customFormat="false" ht="10.25" hidden="false" customHeight="false" outlineLevel="0" collapsed="false">
      <c r="B35" s="133"/>
      <c r="G35" s="137"/>
      <c r="I35" s="71" t="s">
        <v>263</v>
      </c>
      <c r="L35" s="71" t="n">
        <f aca="false">L33+L34</f>
        <v>58227</v>
      </c>
      <c r="M35" s="137"/>
      <c r="O35" s="71" t="s">
        <v>264</v>
      </c>
      <c r="R35" s="143" t="n">
        <f aca="false">R36-R33-R34</f>
        <v>58227</v>
      </c>
      <c r="S35" s="137"/>
      <c r="U35" s="71" t="s">
        <v>265</v>
      </c>
      <c r="X35" s="71" t="n">
        <f aca="false">W!A239</f>
        <v>1031000</v>
      </c>
      <c r="Y35" s="137"/>
    </row>
    <row r="36" customFormat="false" ht="10.25" hidden="false" customHeight="false" outlineLevel="0" collapsed="false">
      <c r="B36" s="133"/>
      <c r="G36" s="137"/>
      <c r="M36" s="137"/>
      <c r="O36" s="71" t="s">
        <v>266</v>
      </c>
      <c r="R36" s="140" t="n">
        <f aca="false">W!A277</f>
        <v>3058227</v>
      </c>
      <c r="S36" s="137"/>
      <c r="Y36" s="137"/>
    </row>
    <row r="37" customFormat="false" ht="10.25" hidden="false" customHeight="false" outlineLevel="0" collapsed="false">
      <c r="B37" s="149"/>
      <c r="C37" s="142"/>
      <c r="D37" s="142"/>
      <c r="E37" s="142"/>
      <c r="F37" s="142"/>
      <c r="G37" s="142"/>
      <c r="H37" s="149"/>
      <c r="I37" s="142"/>
      <c r="J37" s="142"/>
      <c r="K37" s="142"/>
      <c r="L37" s="142"/>
      <c r="M37" s="150"/>
      <c r="N37" s="142"/>
      <c r="O37" s="142"/>
      <c r="P37" s="142"/>
      <c r="Q37" s="142"/>
      <c r="R37" s="142"/>
      <c r="S37" s="150"/>
      <c r="T37" s="142"/>
      <c r="U37" s="142"/>
      <c r="V37" s="142"/>
      <c r="W37" s="142"/>
      <c r="X37" s="142"/>
      <c r="Y37" s="150"/>
    </row>
    <row r="38" customFormat="false" ht="34.5" hidden="false" customHeight="true" outlineLevel="0" collapsed="false">
      <c r="B38" s="151" t="s">
        <v>62</v>
      </c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</row>
    <row r="39" customFormat="false" ht="10.25" hidden="false" customHeight="false" outlineLevel="0" collapsed="false">
      <c r="M39" s="66"/>
    </row>
    <row r="40" customFormat="false" ht="10.25" hidden="false" customHeight="false" outlineLevel="0" collapsed="false"/>
    <row r="41" customFormat="false" ht="11.25" hidden="false" customHeight="false" outlineLevel="0" collapsed="false">
      <c r="S41" s="21"/>
    </row>
    <row r="42" customFormat="false" ht="10.25" hidden="false" customHeight="false" outlineLevel="0" collapsed="false"/>
    <row r="43" customFormat="false" ht="10.25" hidden="false" customHeight="false" outlineLevel="0" collapsed="false"/>
    <row r="44" customFormat="false" ht="10.25" hidden="false" customHeight="false" outlineLevel="0" collapsed="false"/>
    <row r="45" customFormat="false" ht="10.25" hidden="false" customHeight="false" outlineLevel="0" collapsed="false">
      <c r="P45" s="71" t="s">
        <v>8</v>
      </c>
    </row>
    <row r="46" customFormat="false" ht="10.25" hidden="false" customHeight="false" outlineLevel="0" collapsed="false">
      <c r="K46" s="71" t="s">
        <v>8</v>
      </c>
      <c r="L46" s="140"/>
    </row>
    <row r="47" customFormat="false" ht="10.25" hidden="false" customHeight="false" outlineLevel="0" collapsed="false">
      <c r="L47" s="140"/>
    </row>
    <row r="48" customFormat="false" ht="10.25" hidden="false" customHeight="false" outlineLevel="0" collapsed="false"/>
    <row r="49" customFormat="false" ht="10.25" hidden="false" customHeight="false" outlineLevel="0" collapsed="false"/>
    <row r="50" customFormat="false" ht="10.25" hidden="false" customHeight="false" outlineLevel="0" collapsed="false"/>
    <row r="51" customFormat="false" ht="10.25" hidden="false" customHeight="false" outlineLevel="0" collapsed="false"/>
    <row r="52" customFormat="false" ht="10.25" hidden="false" customHeight="false" outlineLevel="0" collapsed="false"/>
    <row r="53" customFormat="false" ht="10.25" hidden="false" customHeight="false" outlineLevel="0" collapsed="false"/>
    <row r="54" customFormat="false" ht="10.25" hidden="false" customHeight="false" outlineLevel="0" collapsed="false"/>
    <row r="55" customFormat="false" ht="10.25" hidden="false" customHeight="false" outlineLevel="0" collapsed="false"/>
    <row r="56" customFormat="false" ht="10.25" hidden="false" customHeight="false" outlineLevel="0" collapsed="false"/>
    <row r="57" customFormat="false" ht="10.25" hidden="false" customHeight="false" outlineLevel="0" collapsed="false"/>
    <row r="58" customFormat="false" ht="10.25" hidden="false" customHeight="false" outlineLevel="0" collapsed="false"/>
    <row r="59" customFormat="false" ht="10.25" hidden="false" customHeight="false" outlineLevel="0" collapsed="false">
      <c r="A59" s="142"/>
    </row>
  </sheetData>
  <mergeCells count="1">
    <mergeCell ref="B38:Y38"/>
  </mergeCells>
  <printOptions headings="false" gridLines="false" gridLinesSet="true" horizontalCentered="false" verticalCentered="false"/>
  <pageMargins left="0.551388888888889" right="0.354166666666667" top="0.590277777777778" bottom="0.5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9.109375" defaultRowHeight="11.25" customHeight="false" zeroHeight="false" outlineLevelRow="0" outlineLevelCol="0"/>
  <cols>
    <col collapsed="false" customWidth="true" hidden="false" outlineLevel="0" max="1" min="1" style="21" width="2"/>
    <col collapsed="false" customWidth="true" hidden="false" outlineLevel="0" max="2" min="2" style="21" width="1.56"/>
    <col collapsed="false" customWidth="true" hidden="false" outlineLevel="0" max="3" min="3" style="21" width="11.44"/>
    <col collapsed="false" customWidth="true" hidden="false" outlineLevel="0" max="4" min="4" style="21" width="9.67"/>
    <col collapsed="false" customWidth="true" hidden="false" outlineLevel="0" max="8" min="5" style="21" width="8.67"/>
    <col collapsed="false" customWidth="true" hidden="false" outlineLevel="0" max="9" min="9" style="30" width="8.67"/>
    <col collapsed="false" customWidth="true" hidden="false" outlineLevel="0" max="13" min="10" style="21" width="8.67"/>
    <col collapsed="false" customWidth="true" hidden="false" outlineLevel="0" max="14" min="14" style="21" width="3"/>
    <col collapsed="false" customWidth="false" hidden="false" outlineLevel="0" max="16384" min="15" style="21" width="9.11"/>
  </cols>
  <sheetData>
    <row r="1" customFormat="false" ht="13.5" hidden="false" customHeight="false" outlineLevel="0" collapsed="false">
      <c r="B1" s="152"/>
      <c r="C1" s="24"/>
      <c r="F1" s="153"/>
      <c r="G1" s="154" t="s">
        <v>267</v>
      </c>
      <c r="I1" s="17" t="s">
        <v>3</v>
      </c>
      <c r="J1" s="16" t="n">
        <f aca="false">W!$A1</f>
        <v>0</v>
      </c>
      <c r="K1" s="17" t="s">
        <v>6</v>
      </c>
      <c r="L1" s="16" t="n">
        <f aca="false">W!$A4</f>
        <v>2026</v>
      </c>
      <c r="M1" s="17" t="s">
        <v>7</v>
      </c>
      <c r="N1" s="155" t="n">
        <f aca="false">W!$A5</f>
        <v>1</v>
      </c>
    </row>
    <row r="2" customFormat="false" ht="11.45" hidden="false" customHeight="false" outlineLevel="0" collapsed="false"/>
    <row r="3" customFormat="false" ht="11.45" hidden="false" customHeight="false" outlineLevel="0" collapsed="false">
      <c r="B3" s="34"/>
      <c r="C3" s="73"/>
      <c r="D3" s="73"/>
      <c r="E3" s="73"/>
      <c r="F3" s="73"/>
      <c r="G3" s="73"/>
      <c r="H3" s="73"/>
      <c r="I3" s="98"/>
      <c r="J3" s="73"/>
      <c r="K3" s="73"/>
      <c r="L3" s="73"/>
      <c r="M3" s="73"/>
      <c r="N3" s="81"/>
    </row>
    <row r="4" customFormat="false" ht="11.45" hidden="false" customHeight="false" outlineLevel="0" collapsed="false">
      <c r="B4" s="92"/>
      <c r="C4" s="24" t="s">
        <v>268</v>
      </c>
      <c r="D4" s="24"/>
      <c r="E4" s="24"/>
      <c r="G4" s="36" t="s">
        <v>19</v>
      </c>
      <c r="H4" s="36" t="s">
        <v>21</v>
      </c>
      <c r="I4" s="30" t="s">
        <v>269</v>
      </c>
      <c r="N4" s="26"/>
    </row>
    <row r="5" customFormat="false" ht="12.9" hidden="false" customHeight="false" outlineLevel="0" collapsed="false">
      <c r="B5" s="92"/>
      <c r="C5" s="108" t="s">
        <v>270</v>
      </c>
      <c r="G5" s="36" t="n">
        <f aca="false">W!A505</f>
        <v>3871</v>
      </c>
      <c r="H5" s="36" t="n">
        <f aca="false">W!A506</f>
        <v>4011</v>
      </c>
      <c r="I5" s="36" t="n">
        <f aca="false">W!A504</f>
        <v>58</v>
      </c>
      <c r="K5" s="30"/>
      <c r="N5" s="26"/>
    </row>
    <row r="6" customFormat="false" ht="12.9" hidden="false" customHeight="false" outlineLevel="0" collapsed="false">
      <c r="B6" s="92"/>
      <c r="C6" s="108" t="s">
        <v>271</v>
      </c>
      <c r="G6" s="156" t="n">
        <f aca="false">W!A507/10</f>
        <v>7.2</v>
      </c>
      <c r="H6" s="156" t="n">
        <f aca="false">W!A508/10</f>
        <v>5.3</v>
      </c>
      <c r="I6" s="36"/>
      <c r="K6" s="30"/>
      <c r="L6" s="45"/>
      <c r="N6" s="26"/>
    </row>
    <row r="7" customFormat="false" ht="11.45" hidden="false" customHeight="false" outlineLevel="0" collapsed="false">
      <c r="B7" s="92"/>
      <c r="C7" s="30" t="s">
        <v>272</v>
      </c>
      <c r="G7" s="36" t="n">
        <f aca="false">W!A509</f>
        <v>1532</v>
      </c>
      <c r="H7" s="36" t="n">
        <f aca="false">W!A510</f>
        <v>1283</v>
      </c>
      <c r="I7" s="36"/>
      <c r="K7" s="30"/>
      <c r="L7" s="45"/>
      <c r="N7" s="26"/>
    </row>
    <row r="8" customFormat="false" ht="11.45" hidden="false" customHeight="false" outlineLevel="0" collapsed="false">
      <c r="B8" s="92"/>
      <c r="C8" s="30"/>
      <c r="H8" s="45"/>
      <c r="I8" s="36"/>
      <c r="K8" s="45"/>
      <c r="L8" s="45"/>
      <c r="N8" s="26"/>
    </row>
    <row r="9" customFormat="false" ht="11.45" hidden="false" customHeight="false" outlineLevel="0" collapsed="false">
      <c r="B9" s="92"/>
      <c r="C9" s="25" t="s">
        <v>273</v>
      </c>
      <c r="E9" s="24"/>
      <c r="H9" s="45"/>
      <c r="I9" s="36"/>
      <c r="K9" s="45"/>
      <c r="L9" s="45" t="s">
        <v>8</v>
      </c>
      <c r="N9" s="26"/>
    </row>
    <row r="10" customFormat="false" ht="12.9" hidden="false" customHeight="false" outlineLevel="0" collapsed="false">
      <c r="B10" s="92"/>
      <c r="C10" s="108" t="s">
        <v>274</v>
      </c>
      <c r="G10" s="156" t="n">
        <f aca="false">W!A501/10</f>
        <v>2</v>
      </c>
      <c r="H10" s="156" t="n">
        <f aca="false">W!A502/10</f>
        <v>0.5</v>
      </c>
      <c r="I10" s="30" t="s">
        <v>275</v>
      </c>
      <c r="J10" s="30"/>
      <c r="K10" s="45"/>
      <c r="L10" s="157" t="n">
        <f aca="false">W!A511/100</f>
        <v>0.9</v>
      </c>
      <c r="N10" s="26"/>
    </row>
    <row r="11" customFormat="false" ht="11.45" hidden="false" customHeight="false" outlineLevel="0" collapsed="false">
      <c r="B11" s="92"/>
      <c r="C11" s="30"/>
      <c r="D11" s="158"/>
      <c r="E11" s="158"/>
      <c r="F11" s="158"/>
      <c r="I11" s="36"/>
      <c r="K11" s="45"/>
      <c r="L11" s="45"/>
      <c r="N11" s="26"/>
    </row>
    <row r="12" customFormat="false" ht="11.45" hidden="false" customHeight="false" outlineLevel="0" collapsed="false">
      <c r="B12" s="92"/>
      <c r="H12" s="36"/>
      <c r="I12" s="36"/>
      <c r="J12" s="45"/>
      <c r="K12" s="45"/>
      <c r="L12" s="45"/>
      <c r="N12" s="26"/>
    </row>
    <row r="13" customFormat="false" ht="11.45" hidden="false" customHeight="false" outlineLevel="0" collapsed="false">
      <c r="B13" s="92"/>
      <c r="C13" s="21" t="s">
        <v>276</v>
      </c>
      <c r="G13" s="36" t="n">
        <f aca="false">W!A518</f>
        <v>500</v>
      </c>
      <c r="I13" s="36"/>
      <c r="J13" s="45"/>
      <c r="K13" s="45"/>
      <c r="L13" s="45"/>
      <c r="N13" s="26"/>
    </row>
    <row r="14" customFormat="false" ht="11.45" hidden="false" customHeight="false" outlineLevel="0" collapsed="false">
      <c r="B14" s="92"/>
      <c r="H14" s="45"/>
      <c r="I14" s="36"/>
      <c r="J14" s="45"/>
      <c r="K14" s="45"/>
      <c r="L14" s="45"/>
      <c r="N14" s="26"/>
    </row>
    <row r="15" customFormat="false" ht="11.45" hidden="false" customHeight="false" outlineLevel="0" collapsed="false">
      <c r="B15" s="92"/>
      <c r="C15" s="21" t="s">
        <v>277</v>
      </c>
      <c r="G15" s="30" t="s">
        <v>68</v>
      </c>
      <c r="H15" s="30" t="s">
        <v>69</v>
      </c>
      <c r="I15" s="36" t="s">
        <v>70</v>
      </c>
      <c r="K15" s="30"/>
      <c r="L15" s="45"/>
      <c r="N15" s="26"/>
    </row>
    <row r="16" customFormat="false" ht="11.45" hidden="false" customHeight="false" outlineLevel="0" collapsed="false">
      <c r="B16" s="92"/>
      <c r="C16" s="21" t="s">
        <v>278</v>
      </c>
      <c r="G16" s="159" t="n">
        <f aca="false">INT(L10*G20/1000) + 60</f>
        <v>103</v>
      </c>
      <c r="H16" s="159" t="n">
        <f aca="false">INT(L10*2*G20/1000) + 75</f>
        <v>161</v>
      </c>
      <c r="I16" s="159" t="n">
        <f aca="false">INT(L10*3*G20/1000) + 120</f>
        <v>249</v>
      </c>
      <c r="K16" s="45"/>
      <c r="L16" s="45"/>
      <c r="M16" s="45"/>
      <c r="N16" s="26"/>
    </row>
    <row r="17" customFormat="false" ht="11.45" hidden="false" customHeight="false" outlineLevel="0" collapsed="false">
      <c r="B17" s="92"/>
      <c r="C17" s="21" t="s">
        <v>279</v>
      </c>
      <c r="G17" s="159" t="n">
        <f aca="false">INT(L10*1.5*G20/1000) + 60</f>
        <v>124</v>
      </c>
      <c r="H17" s="159" t="n">
        <f aca="false">INT(L10*1.5*2*G20/1000) + 75</f>
        <v>204</v>
      </c>
      <c r="I17" s="159" t="n">
        <f aca="false">INT(L10*1.5*3*G20/1000) + 120</f>
        <v>314</v>
      </c>
      <c r="K17" s="45"/>
      <c r="L17" s="45"/>
      <c r="M17" s="45"/>
      <c r="N17" s="26"/>
    </row>
    <row r="18" customFormat="false" ht="11.45" hidden="false" customHeight="false" outlineLevel="0" collapsed="false">
      <c r="B18" s="92"/>
      <c r="H18" s="45"/>
      <c r="I18" s="36"/>
      <c r="J18" s="45"/>
      <c r="K18" s="45"/>
      <c r="L18" s="45"/>
      <c r="N18" s="26"/>
    </row>
    <row r="19" customFormat="false" ht="11.45" hidden="false" customHeight="false" outlineLevel="0" collapsed="false">
      <c r="B19" s="92"/>
      <c r="G19" s="160" t="s">
        <v>28</v>
      </c>
      <c r="H19" s="160" t="s">
        <v>29</v>
      </c>
      <c r="I19" s="160" t="s">
        <v>30</v>
      </c>
      <c r="K19" s="45"/>
      <c r="L19" s="45"/>
      <c r="N19" s="26"/>
    </row>
    <row r="20" customFormat="false" ht="11.45" hidden="false" customHeight="false" outlineLevel="0" collapsed="false">
      <c r="B20" s="92"/>
      <c r="C20" s="21" t="s">
        <v>280</v>
      </c>
      <c r="G20" s="161" t="n">
        <f aca="false">W!A515</f>
        <v>47946</v>
      </c>
      <c r="H20" s="161" t="n">
        <f aca="false">W!A516</f>
        <v>45318</v>
      </c>
      <c r="I20" s="161" t="n">
        <f aca="false">W!A517</f>
        <v>44781</v>
      </c>
      <c r="K20" s="45"/>
      <c r="L20" s="45"/>
      <c r="N20" s="26"/>
    </row>
    <row r="21" customFormat="false" ht="11.45" hidden="false" customHeight="false" outlineLevel="0" collapsed="false">
      <c r="B21" s="92"/>
      <c r="H21" s="45"/>
      <c r="J21" s="45"/>
      <c r="K21" s="45"/>
      <c r="L21" s="45"/>
      <c r="N21" s="26"/>
    </row>
    <row r="22" customFormat="false" ht="11.45" hidden="false" customHeight="false" outlineLevel="0" collapsed="false">
      <c r="B22" s="92"/>
      <c r="H22" s="45"/>
      <c r="J22" s="45"/>
      <c r="K22" s="45"/>
      <c r="L22" s="45"/>
      <c r="N22" s="26"/>
    </row>
    <row r="23" customFormat="false" ht="11.45" hidden="false" customHeight="false" outlineLevel="0" collapsed="false">
      <c r="B23" s="92"/>
      <c r="C23" s="24" t="s">
        <v>281</v>
      </c>
      <c r="F23" s="72" t="str">
        <f aca="false">W!A681</f>
        <v>Если компания хочет расширяться и увеличивать свою долю на рынке,</v>
      </c>
      <c r="N23" s="26"/>
    </row>
    <row r="24" customFormat="false" ht="11.45" hidden="false" customHeight="false" outlineLevel="0" collapsed="false">
      <c r="B24" s="92"/>
      <c r="C24" s="24"/>
      <c r="F24" s="72" t="str">
        <f aca="false">W!A682</f>
        <v>ей необходимы выдающиеся лидерские качества в сочетании с хорошим обслуживанием</v>
      </c>
      <c r="N24" s="26"/>
    </row>
    <row r="25" customFormat="false" ht="11.45" hidden="false" customHeight="false" outlineLevel="0" collapsed="false">
      <c r="B25" s="92"/>
      <c r="C25" s="24"/>
      <c r="F25" s="72" t="str">
        <f aca="false">W!A683</f>
        <v>клиентов и финансовыми знаниями.</v>
      </c>
      <c r="N25" s="26"/>
    </row>
    <row r="26" customFormat="false" ht="11.45" hidden="false" customHeight="false" outlineLevel="0" collapsed="false">
      <c r="B26" s="92"/>
      <c r="C26" s="72"/>
      <c r="F26" s="72" t="str">
        <f aca="false">W!A684</f>
        <v> </v>
      </c>
      <c r="G26" s="72"/>
      <c r="H26" s="72"/>
      <c r="I26" s="33"/>
      <c r="J26" s="72"/>
      <c r="N26" s="26"/>
    </row>
    <row r="27" customFormat="false" ht="11.45" hidden="false" customHeight="false" outlineLevel="0" collapsed="false">
      <c r="B27" s="92"/>
      <c r="C27" s="72"/>
      <c r="F27" s="72" t="str">
        <f aca="false">W!A685</f>
        <v> </v>
      </c>
      <c r="G27" s="72"/>
      <c r="H27" s="72"/>
      <c r="I27" s="33"/>
      <c r="J27" s="72"/>
      <c r="N27" s="26"/>
    </row>
    <row r="28" customFormat="false" ht="11.45" hidden="false" customHeight="false" outlineLevel="0" collapsed="false">
      <c r="B28" s="92"/>
      <c r="C28" s="72"/>
      <c r="F28" s="72" t="str">
        <f aca="false">W!A686</f>
        <v> </v>
      </c>
      <c r="G28" s="72"/>
      <c r="H28" s="72"/>
      <c r="I28" s="33"/>
      <c r="J28" s="72"/>
      <c r="N28" s="26"/>
    </row>
    <row r="29" customFormat="false" ht="11.45" hidden="false" customHeight="false" outlineLevel="0" collapsed="false">
      <c r="B29" s="162"/>
      <c r="C29" s="163"/>
      <c r="D29" s="163"/>
      <c r="E29" s="163"/>
      <c r="F29" s="163"/>
      <c r="G29" s="163"/>
      <c r="H29" s="163"/>
      <c r="I29" s="85"/>
      <c r="J29" s="163"/>
      <c r="K29" s="163"/>
      <c r="L29" s="163"/>
      <c r="M29" s="163"/>
      <c r="N29" s="75"/>
    </row>
    <row r="30" customFormat="false" ht="11.45" hidden="false" customHeight="false" outlineLevel="0" collapsed="false">
      <c r="D30" s="33"/>
      <c r="E30" s="72"/>
      <c r="F30" s="72"/>
      <c r="G30" s="72"/>
      <c r="H30" s="72"/>
      <c r="I30" s="33"/>
      <c r="J30" s="72"/>
    </row>
    <row r="31" customFormat="false" ht="11.45" hidden="false" customHeight="false" outlineLevel="0" collapsed="false">
      <c r="B31" s="34"/>
      <c r="C31" s="73"/>
      <c r="D31" s="164"/>
      <c r="E31" s="165"/>
      <c r="F31" s="165"/>
      <c r="G31" s="165"/>
      <c r="H31" s="165"/>
      <c r="I31" s="164"/>
      <c r="J31" s="165"/>
      <c r="K31" s="73"/>
      <c r="L31" s="73"/>
      <c r="M31" s="73"/>
      <c r="N31" s="81"/>
    </row>
    <row r="32" customFormat="false" ht="11.45" hidden="false" customHeight="false" outlineLevel="0" collapsed="false">
      <c r="B32" s="92"/>
      <c r="C32" s="24" t="s">
        <v>282</v>
      </c>
      <c r="D32" s="33"/>
      <c r="E32" s="72"/>
      <c r="F32" s="40" t="s">
        <v>2</v>
      </c>
      <c r="G32" s="40" t="s">
        <v>2</v>
      </c>
      <c r="H32" s="40" t="s">
        <v>2</v>
      </c>
      <c r="I32" s="40" t="s">
        <v>2</v>
      </c>
      <c r="J32" s="40" t="s">
        <v>2</v>
      </c>
      <c r="K32" s="40" t="s">
        <v>2</v>
      </c>
      <c r="L32" s="40" t="s">
        <v>2</v>
      </c>
      <c r="M32" s="40" t="s">
        <v>2</v>
      </c>
      <c r="N32" s="26"/>
    </row>
    <row r="33" customFormat="false" ht="11.45" hidden="false" customHeight="false" outlineLevel="0" collapsed="false">
      <c r="B33" s="92"/>
      <c r="F33" s="166" t="n">
        <f aca="false">W!A521</f>
        <v>1</v>
      </c>
      <c r="G33" s="166" t="n">
        <f aca="false">W!A541</f>
        <v>2</v>
      </c>
      <c r="H33" s="166" t="n">
        <f aca="false">W!A561</f>
        <v>3</v>
      </c>
      <c r="I33" s="166" t="n">
        <f aca="false">W!A581</f>
        <v>4</v>
      </c>
      <c r="J33" s="166" t="n">
        <f aca="false">W!A601</f>
        <v>5</v>
      </c>
      <c r="K33" s="166" t="n">
        <f aca="false">W!A621</f>
        <v>6</v>
      </c>
      <c r="L33" s="166" t="n">
        <f aca="false">W!A641</f>
        <v>7</v>
      </c>
      <c r="M33" s="166" t="n">
        <f aca="false">W!A661</f>
        <v>8</v>
      </c>
      <c r="N33" s="26"/>
      <c r="Q33" s="21" t="s">
        <v>8</v>
      </c>
    </row>
    <row r="34" customFormat="false" ht="11.45" hidden="false" customHeight="false" outlineLevel="0" collapsed="false">
      <c r="B34" s="92"/>
      <c r="C34" s="24" t="s">
        <v>283</v>
      </c>
      <c r="I34" s="45"/>
      <c r="N34" s="26"/>
    </row>
    <row r="35" customFormat="false" ht="11.45" hidden="false" customHeight="false" outlineLevel="0" collapsed="false">
      <c r="B35" s="92"/>
      <c r="C35" s="21" t="s">
        <v>284</v>
      </c>
      <c r="F35" s="45" t="n">
        <f aca="false">W!A522/100</f>
        <v>111.32</v>
      </c>
      <c r="G35" s="45" t="n">
        <f aca="false">W!A542/100</f>
        <v>111.32</v>
      </c>
      <c r="H35" s="45" t="n">
        <f aca="false">W!A562/100</f>
        <v>111.32</v>
      </c>
      <c r="I35" s="45" t="n">
        <f aca="false">W!A582/100</f>
        <v>111.32</v>
      </c>
      <c r="J35" s="45" t="n">
        <f aca="false">W!A602/100</f>
        <v>111.32</v>
      </c>
      <c r="K35" s="45" t="n">
        <f aca="false">W!A622/100</f>
        <v>111.32</v>
      </c>
      <c r="L35" s="45" t="n">
        <f aca="false">W!A642/100</f>
        <v>111.32</v>
      </c>
      <c r="M35" s="45" t="n">
        <f aca="false">W!A662/100</f>
        <v>111.32</v>
      </c>
      <c r="N35" s="52"/>
    </row>
    <row r="36" customFormat="false" ht="11.45" hidden="false" customHeight="false" outlineLevel="0" collapsed="false">
      <c r="B36" s="92"/>
      <c r="C36" s="21" t="s">
        <v>285</v>
      </c>
      <c r="F36" s="45" t="n">
        <f aca="false">W!A523</f>
        <v>3339600</v>
      </c>
      <c r="G36" s="45" t="n">
        <f aca="false">W!A543</f>
        <v>3339600</v>
      </c>
      <c r="H36" s="45" t="n">
        <f aca="false">W!A563</f>
        <v>3339600</v>
      </c>
      <c r="I36" s="45" t="n">
        <f aca="false">W!A583</f>
        <v>3339600</v>
      </c>
      <c r="J36" s="45" t="n">
        <f aca="false">W!A603</f>
        <v>3339600</v>
      </c>
      <c r="K36" s="45" t="n">
        <f aca="false">W!A623</f>
        <v>3339600</v>
      </c>
      <c r="L36" s="45" t="n">
        <f aca="false">W!A643</f>
        <v>3339600</v>
      </c>
      <c r="M36" s="45" t="n">
        <f aca="false">W!A663</f>
        <v>3339600</v>
      </c>
      <c r="N36" s="52"/>
      <c r="P36" s="71"/>
    </row>
    <row r="37" customFormat="false" ht="11.45" hidden="false" customHeight="false" outlineLevel="0" collapsed="false">
      <c r="B37" s="92"/>
      <c r="I37" s="45"/>
      <c r="N37" s="52"/>
    </row>
    <row r="38" customFormat="false" ht="11.45" hidden="false" customHeight="false" outlineLevel="0" collapsed="false">
      <c r="B38" s="92"/>
      <c r="C38" s="21" t="s">
        <v>286</v>
      </c>
      <c r="F38" s="45" t="n">
        <f aca="false">W!A524</f>
        <v>0</v>
      </c>
      <c r="G38" s="45" t="n">
        <f aca="false">W!A544</f>
        <v>0</v>
      </c>
      <c r="H38" s="45" t="n">
        <f aca="false">W!A564</f>
        <v>0</v>
      </c>
      <c r="I38" s="45" t="n">
        <f aca="false">W!A584</f>
        <v>0</v>
      </c>
      <c r="J38" s="45" t="n">
        <f aca="false">W!A604</f>
        <v>0</v>
      </c>
      <c r="K38" s="45" t="n">
        <f aca="false">W!A624</f>
        <v>0</v>
      </c>
      <c r="L38" s="45" t="n">
        <f aca="false">W!A644</f>
        <v>0</v>
      </c>
      <c r="M38" s="45" t="n">
        <f aca="false">W!A664</f>
        <v>0</v>
      </c>
      <c r="N38" s="52"/>
    </row>
    <row r="39" customFormat="false" ht="11.45" hidden="false" customHeight="false" outlineLevel="0" collapsed="false">
      <c r="B39" s="92"/>
      <c r="C39" s="21" t="s">
        <v>287</v>
      </c>
      <c r="F39" s="45" t="n">
        <f aca="false">W!A525</f>
        <v>3339600</v>
      </c>
      <c r="G39" s="45" t="n">
        <f aca="false">W!A545</f>
        <v>3339600</v>
      </c>
      <c r="H39" s="45" t="n">
        <f aca="false">W!A565</f>
        <v>3339600</v>
      </c>
      <c r="I39" s="45" t="n">
        <f aca="false">W!A585</f>
        <v>3339600</v>
      </c>
      <c r="J39" s="45" t="n">
        <f aca="false">W!A605</f>
        <v>3339600</v>
      </c>
      <c r="K39" s="45" t="n">
        <f aca="false">W!A625</f>
        <v>3339600</v>
      </c>
      <c r="L39" s="45" t="n">
        <f aca="false">W!A645</f>
        <v>3339600</v>
      </c>
      <c r="M39" s="45" t="n">
        <f aca="false">W!A665</f>
        <v>3339600</v>
      </c>
      <c r="N39" s="52"/>
    </row>
    <row r="40" customFormat="false" ht="11.45" hidden="false" customHeight="false" outlineLevel="0" collapsed="false">
      <c r="B40" s="92"/>
      <c r="I40" s="45"/>
      <c r="N40" s="52"/>
    </row>
    <row r="41" customFormat="false" ht="11.45" hidden="false" customHeight="false" outlineLevel="0" collapsed="false">
      <c r="B41" s="92"/>
      <c r="C41" s="24" t="s">
        <v>288</v>
      </c>
      <c r="F41" s="45"/>
      <c r="G41" s="45"/>
      <c r="H41" s="45"/>
      <c r="I41" s="45"/>
      <c r="N41" s="52"/>
    </row>
    <row r="42" customFormat="false" ht="11.45" hidden="false" customHeight="false" outlineLevel="0" collapsed="false">
      <c r="B42" s="92"/>
      <c r="C42" s="21" t="s">
        <v>289</v>
      </c>
      <c r="F42" s="45"/>
      <c r="G42" s="45"/>
      <c r="H42" s="45"/>
      <c r="I42" s="45"/>
      <c r="N42" s="52"/>
    </row>
    <row r="43" customFormat="false" ht="11.45" hidden="false" customHeight="false" outlineLevel="0" collapsed="false">
      <c r="B43" s="92"/>
      <c r="C43" s="21" t="s">
        <v>290</v>
      </c>
      <c r="F43" s="45" t="n">
        <f aca="false">W!A526</f>
        <v>325</v>
      </c>
      <c r="G43" s="45" t="n">
        <f aca="false">W!A546</f>
        <v>325</v>
      </c>
      <c r="H43" s="45" t="n">
        <f aca="false">W!A566</f>
        <v>325</v>
      </c>
      <c r="I43" s="45" t="n">
        <f aca="false">W!A586</f>
        <v>325</v>
      </c>
      <c r="J43" s="45" t="n">
        <f aca="false">W!A606</f>
        <v>325</v>
      </c>
      <c r="K43" s="45" t="n">
        <f aca="false">W!A626</f>
        <v>325</v>
      </c>
      <c r="L43" s="45" t="n">
        <f aca="false">W!A646</f>
        <v>325</v>
      </c>
      <c r="M43" s="45" t="n">
        <f aca="false">W!A666</f>
        <v>325</v>
      </c>
      <c r="N43" s="52"/>
    </row>
    <row r="44" customFormat="false" ht="11.45" hidden="false" customHeight="false" outlineLevel="0" collapsed="false">
      <c r="B44" s="92"/>
      <c r="C44" s="21" t="s">
        <v>291</v>
      </c>
      <c r="D44" s="30" t="s">
        <v>110</v>
      </c>
      <c r="F44" s="45" t="n">
        <f aca="false">W!A527</f>
        <v>335</v>
      </c>
      <c r="G44" s="45" t="n">
        <f aca="false">W!A547</f>
        <v>335</v>
      </c>
      <c r="H44" s="45" t="n">
        <f aca="false">W!A567</f>
        <v>335</v>
      </c>
      <c r="I44" s="45" t="n">
        <f aca="false">W!A587</f>
        <v>335</v>
      </c>
      <c r="J44" s="45" t="n">
        <f aca="false">W!A607</f>
        <v>335</v>
      </c>
      <c r="K44" s="45" t="n">
        <f aca="false">W!A627</f>
        <v>335</v>
      </c>
      <c r="L44" s="45" t="n">
        <f aca="false">W!A647</f>
        <v>335</v>
      </c>
      <c r="M44" s="45" t="n">
        <f aca="false">W!A667</f>
        <v>335</v>
      </c>
      <c r="N44" s="52"/>
    </row>
    <row r="45" customFormat="false" ht="11.45" hidden="false" customHeight="false" outlineLevel="0" collapsed="false">
      <c r="B45" s="92"/>
      <c r="D45" s="21" t="s">
        <v>113</v>
      </c>
      <c r="F45" s="45" t="n">
        <f aca="false">W!A528</f>
        <v>375</v>
      </c>
      <c r="G45" s="45" t="n">
        <f aca="false">W!A548</f>
        <v>375</v>
      </c>
      <c r="H45" s="45" t="n">
        <f aca="false">W!A568</f>
        <v>375</v>
      </c>
      <c r="I45" s="45" t="n">
        <f aca="false">W!A588</f>
        <v>375</v>
      </c>
      <c r="J45" s="45" t="n">
        <f aca="false">W!A608</f>
        <v>375</v>
      </c>
      <c r="K45" s="45" t="n">
        <f aca="false">W!A628</f>
        <v>375</v>
      </c>
      <c r="L45" s="45" t="n">
        <f aca="false">W!A648</f>
        <v>375</v>
      </c>
      <c r="M45" s="45" t="n">
        <f aca="false">W!A668</f>
        <v>375</v>
      </c>
      <c r="N45" s="52"/>
    </row>
    <row r="46" customFormat="false" ht="11.45" hidden="false" customHeight="false" outlineLevel="0" collapsed="false">
      <c r="B46" s="92"/>
      <c r="C46" s="21" t="s">
        <v>292</v>
      </c>
      <c r="F46" s="45" t="n">
        <f aca="false">W!A529</f>
        <v>490</v>
      </c>
      <c r="G46" s="45" t="n">
        <f aca="false">W!A549</f>
        <v>490</v>
      </c>
      <c r="H46" s="45" t="n">
        <f aca="false">W!A569</f>
        <v>490</v>
      </c>
      <c r="I46" s="45" t="n">
        <f aca="false">W!A589</f>
        <v>490</v>
      </c>
      <c r="J46" s="45" t="n">
        <f aca="false">W!A609</f>
        <v>490</v>
      </c>
      <c r="K46" s="45" t="n">
        <f aca="false">W!A629</f>
        <v>490</v>
      </c>
      <c r="L46" s="45" t="n">
        <f aca="false">W!A649</f>
        <v>490</v>
      </c>
      <c r="M46" s="45" t="n">
        <f aca="false">W!A669</f>
        <v>490</v>
      </c>
      <c r="N46" s="52"/>
    </row>
    <row r="47" customFormat="false" ht="11.45" hidden="false" customHeight="false" outlineLevel="0" collapsed="false">
      <c r="B47" s="92"/>
      <c r="C47" s="21" t="s">
        <v>291</v>
      </c>
      <c r="D47" s="30" t="s">
        <v>110</v>
      </c>
      <c r="F47" s="45" t="n">
        <f aca="false">W!A530</f>
        <v>490</v>
      </c>
      <c r="G47" s="45" t="n">
        <f aca="false">W!A550</f>
        <v>490</v>
      </c>
      <c r="H47" s="45" t="n">
        <f aca="false">W!A570</f>
        <v>490</v>
      </c>
      <c r="I47" s="45" t="n">
        <f aca="false">W!A590</f>
        <v>490</v>
      </c>
      <c r="J47" s="45" t="n">
        <f aca="false">W!A610</f>
        <v>490</v>
      </c>
      <c r="K47" s="45" t="n">
        <f aca="false">W!A630</f>
        <v>490</v>
      </c>
      <c r="L47" s="45" t="n">
        <f aca="false">W!A650</f>
        <v>490</v>
      </c>
      <c r="M47" s="45" t="n">
        <f aca="false">W!A670</f>
        <v>490</v>
      </c>
      <c r="N47" s="52"/>
    </row>
    <row r="48" customFormat="false" ht="11.45" hidden="false" customHeight="false" outlineLevel="0" collapsed="false">
      <c r="B48" s="92"/>
      <c r="D48" s="21" t="s">
        <v>113</v>
      </c>
      <c r="F48" s="45" t="n">
        <f aca="false">W!A531</f>
        <v>585</v>
      </c>
      <c r="G48" s="45" t="n">
        <f aca="false">W!A551</f>
        <v>585</v>
      </c>
      <c r="H48" s="45" t="n">
        <f aca="false">W!A571</f>
        <v>585</v>
      </c>
      <c r="I48" s="45" t="n">
        <f aca="false">W!A591</f>
        <v>585</v>
      </c>
      <c r="J48" s="45" t="n">
        <f aca="false">W!A611</f>
        <v>585</v>
      </c>
      <c r="K48" s="45" t="n">
        <f aca="false">W!A631</f>
        <v>585</v>
      </c>
      <c r="L48" s="45" t="n">
        <f aca="false">W!A651</f>
        <v>585</v>
      </c>
      <c r="M48" s="45" t="n">
        <f aca="false">W!A671</f>
        <v>585</v>
      </c>
      <c r="N48" s="52"/>
    </row>
    <row r="49" customFormat="false" ht="11.45" hidden="false" customHeight="false" outlineLevel="0" collapsed="false">
      <c r="B49" s="92"/>
      <c r="C49" s="21" t="s">
        <v>293</v>
      </c>
      <c r="F49" s="45" t="n">
        <f aca="false">W!A532</f>
        <v>690</v>
      </c>
      <c r="G49" s="45" t="n">
        <f aca="false">W!A552</f>
        <v>690</v>
      </c>
      <c r="H49" s="45" t="n">
        <f aca="false">W!A572</f>
        <v>690</v>
      </c>
      <c r="I49" s="45" t="n">
        <f aca="false">W!A592</f>
        <v>690</v>
      </c>
      <c r="J49" s="45" t="n">
        <f aca="false">W!A612</f>
        <v>690</v>
      </c>
      <c r="K49" s="45" t="n">
        <f aca="false">W!A632</f>
        <v>690</v>
      </c>
      <c r="L49" s="45" t="n">
        <f aca="false">W!A652</f>
        <v>690</v>
      </c>
      <c r="M49" s="45" t="n">
        <f aca="false">W!A672</f>
        <v>690</v>
      </c>
      <c r="N49" s="52"/>
    </row>
    <row r="50" customFormat="false" ht="11.45" hidden="false" customHeight="false" outlineLevel="0" collapsed="false">
      <c r="B50" s="92"/>
      <c r="C50" s="21" t="s">
        <v>291</v>
      </c>
      <c r="D50" s="30" t="s">
        <v>110</v>
      </c>
      <c r="F50" s="45" t="n">
        <f aca="false">W!A533</f>
        <v>725</v>
      </c>
      <c r="G50" s="45" t="n">
        <f aca="false">W!A553</f>
        <v>725</v>
      </c>
      <c r="H50" s="45" t="n">
        <f aca="false">W!A573</f>
        <v>725</v>
      </c>
      <c r="I50" s="45" t="n">
        <f aca="false">W!A593</f>
        <v>725</v>
      </c>
      <c r="J50" s="45" t="n">
        <f aca="false">W!A613</f>
        <v>725</v>
      </c>
      <c r="K50" s="45" t="n">
        <f aca="false">W!A633</f>
        <v>725</v>
      </c>
      <c r="L50" s="45" t="n">
        <f aca="false">W!A653</f>
        <v>725</v>
      </c>
      <c r="M50" s="45" t="n">
        <f aca="false">W!A673</f>
        <v>725</v>
      </c>
      <c r="N50" s="52"/>
    </row>
    <row r="51" customFormat="false" ht="11.45" hidden="false" customHeight="false" outlineLevel="0" collapsed="false">
      <c r="B51" s="92"/>
      <c r="D51" s="21" t="s">
        <v>113</v>
      </c>
      <c r="F51" s="45" t="n">
        <f aca="false">W!A534</f>
        <v>855</v>
      </c>
      <c r="G51" s="45" t="n">
        <f aca="false">W!A554</f>
        <v>855</v>
      </c>
      <c r="H51" s="45" t="n">
        <f aca="false">W!A574</f>
        <v>855</v>
      </c>
      <c r="I51" s="45" t="n">
        <f aca="false">W!A594</f>
        <v>855</v>
      </c>
      <c r="J51" s="45" t="n">
        <f aca="false">W!A614</f>
        <v>855</v>
      </c>
      <c r="K51" s="45" t="n">
        <f aca="false">W!A634</f>
        <v>855</v>
      </c>
      <c r="L51" s="45" t="n">
        <f aca="false">W!A654</f>
        <v>855</v>
      </c>
      <c r="M51" s="45" t="n">
        <f aca="false">W!A674</f>
        <v>855</v>
      </c>
      <c r="N51" s="52"/>
    </row>
    <row r="52" customFormat="false" ht="11.45" hidden="false" customHeight="false" outlineLevel="0" collapsed="false">
      <c r="B52" s="92"/>
      <c r="F52" s="45"/>
      <c r="G52" s="45"/>
      <c r="H52" s="45"/>
      <c r="I52" s="45"/>
      <c r="J52" s="45"/>
      <c r="K52" s="45"/>
      <c r="L52" s="45"/>
      <c r="M52" s="45"/>
      <c r="N52" s="52"/>
    </row>
    <row r="53" customFormat="false" ht="11.45" hidden="false" customHeight="false" outlineLevel="0" collapsed="false">
      <c r="B53" s="92"/>
      <c r="C53" s="21" t="s">
        <v>294</v>
      </c>
      <c r="F53" s="45" t="n">
        <f aca="false">W!A535</f>
        <v>49</v>
      </c>
      <c r="G53" s="45" t="n">
        <f aca="false">W!A555</f>
        <v>49</v>
      </c>
      <c r="H53" s="45" t="n">
        <f aca="false">W!A575</f>
        <v>49</v>
      </c>
      <c r="I53" s="45" t="n">
        <f aca="false">W!A595</f>
        <v>49</v>
      </c>
      <c r="J53" s="45" t="n">
        <f aca="false">W!A615</f>
        <v>49</v>
      </c>
      <c r="K53" s="45" t="n">
        <f aca="false">W!A635</f>
        <v>49</v>
      </c>
      <c r="L53" s="45" t="n">
        <f aca="false">W!A655</f>
        <v>49</v>
      </c>
      <c r="M53" s="45" t="n">
        <f aca="false">W!A675</f>
        <v>49</v>
      </c>
      <c r="N53" s="52"/>
    </row>
    <row r="54" customFormat="false" ht="12.9" hidden="false" customHeight="false" outlineLevel="0" collapsed="false">
      <c r="B54" s="92"/>
      <c r="C54" s="105" t="s">
        <v>295</v>
      </c>
      <c r="F54" s="45" t="n">
        <f aca="false">W!A536</f>
        <v>1200</v>
      </c>
      <c r="G54" s="45" t="n">
        <f aca="false">W!A556</f>
        <v>1200</v>
      </c>
      <c r="H54" s="45" t="n">
        <f aca="false">W!A576</f>
        <v>1200</v>
      </c>
      <c r="I54" s="45" t="n">
        <f aca="false">W!A596</f>
        <v>1200</v>
      </c>
      <c r="J54" s="45" t="n">
        <f aca="false">W!A616</f>
        <v>1200</v>
      </c>
      <c r="K54" s="45" t="n">
        <f aca="false">W!A636</f>
        <v>1200</v>
      </c>
      <c r="L54" s="45" t="n">
        <f aca="false">W!A656</f>
        <v>1200</v>
      </c>
      <c r="M54" s="45" t="n">
        <f aca="false">W!A676</f>
        <v>1200</v>
      </c>
      <c r="N54" s="52"/>
    </row>
    <row r="55" customFormat="false" ht="11.25" hidden="false" customHeight="false" outlineLevel="0" collapsed="false">
      <c r="B55" s="92"/>
      <c r="C55" s="21" t="s">
        <v>296</v>
      </c>
      <c r="F55" s="45" t="n">
        <f aca="false">W!A537</f>
        <v>4</v>
      </c>
      <c r="G55" s="45" t="n">
        <f aca="false">W!A557</f>
        <v>4</v>
      </c>
      <c r="H55" s="45" t="n">
        <f aca="false">W!A577</f>
        <v>4</v>
      </c>
      <c r="I55" s="45" t="n">
        <f aca="false">W!A597</f>
        <v>4</v>
      </c>
      <c r="J55" s="45" t="n">
        <f aca="false">W!A617</f>
        <v>4</v>
      </c>
      <c r="K55" s="45" t="n">
        <f aca="false">W!A637</f>
        <v>4</v>
      </c>
      <c r="L55" s="45" t="n">
        <f aca="false">W!A657</f>
        <v>4</v>
      </c>
      <c r="M55" s="45" t="n">
        <f aca="false">W!A677</f>
        <v>4</v>
      </c>
      <c r="N55" s="52"/>
    </row>
    <row r="56" customFormat="false" ht="11.25" hidden="false" customHeight="false" outlineLevel="0" collapsed="false">
      <c r="B56" s="93"/>
      <c r="C56" s="63"/>
      <c r="D56" s="63"/>
      <c r="E56" s="63"/>
      <c r="F56" s="63"/>
      <c r="G56" s="63"/>
      <c r="H56" s="58"/>
      <c r="I56" s="80"/>
      <c r="J56" s="63"/>
      <c r="K56" s="63"/>
      <c r="L56" s="63"/>
      <c r="M56" s="58"/>
      <c r="N56" s="75"/>
    </row>
    <row r="57" customFormat="false" ht="45" hidden="false" customHeight="true" outlineLevel="0" collapsed="false">
      <c r="B57" s="167" t="s">
        <v>62</v>
      </c>
      <c r="C57" s="167"/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</row>
    <row r="59" customFormat="false" ht="11.25" hidden="false" customHeight="false" outlineLevel="0" collapsed="false">
      <c r="H59" s="66"/>
    </row>
    <row r="60" customFormat="false" ht="11.25" hidden="false" customHeight="false" outlineLevel="0" collapsed="false">
      <c r="H60" s="45"/>
      <c r="M60" s="45"/>
    </row>
    <row r="61" customFormat="false" ht="13.5" hidden="false" customHeight="false" outlineLevel="0" collapsed="false">
      <c r="B61" s="152"/>
      <c r="C61" s="24"/>
      <c r="F61" s="153"/>
      <c r="G61" s="154" t="s">
        <v>297</v>
      </c>
      <c r="I61" s="17" t="s">
        <v>3</v>
      </c>
      <c r="J61" s="16" t="n">
        <f aca="false">W!$A1</f>
        <v>0</v>
      </c>
      <c r="K61" s="17" t="s">
        <v>6</v>
      </c>
      <c r="L61" s="16" t="n">
        <f aca="false">W!$A4</f>
        <v>2026</v>
      </c>
      <c r="M61" s="17" t="s">
        <v>7</v>
      </c>
      <c r="N61" s="155" t="n">
        <f aca="false">W!$A5</f>
        <v>1</v>
      </c>
    </row>
    <row r="62" customFormat="false" ht="11.45" hidden="false" customHeight="false" outlineLevel="0" collapsed="false">
      <c r="H62" s="45"/>
      <c r="M62" s="45"/>
    </row>
    <row r="63" customFormat="false" ht="11.45" hidden="false" customHeight="false" outlineLevel="0" collapsed="false">
      <c r="B63" s="34"/>
      <c r="C63" s="73"/>
      <c r="D63" s="73"/>
      <c r="E63" s="73"/>
      <c r="F63" s="73"/>
      <c r="G63" s="73"/>
      <c r="H63" s="73"/>
      <c r="I63" s="98"/>
      <c r="J63" s="73"/>
      <c r="K63" s="73"/>
      <c r="L63" s="73"/>
      <c r="M63" s="73"/>
      <c r="N63" s="81"/>
    </row>
    <row r="64" customFormat="false" ht="11.45" hidden="false" customHeight="false" outlineLevel="0" collapsed="false">
      <c r="B64" s="92"/>
      <c r="C64" s="24" t="s">
        <v>298</v>
      </c>
      <c r="D64" s="24"/>
      <c r="F64" s="45"/>
      <c r="G64" s="45"/>
      <c r="H64" s="45"/>
      <c r="J64" s="45"/>
      <c r="K64" s="30"/>
      <c r="L64" s="30"/>
      <c r="M64" s="45"/>
      <c r="N64" s="26"/>
    </row>
    <row r="65" customFormat="false" ht="11.45" hidden="false" customHeight="false" outlineLevel="0" collapsed="false">
      <c r="B65" s="92"/>
      <c r="C65" s="24"/>
      <c r="D65" s="21" t="s">
        <v>299</v>
      </c>
      <c r="F65" s="23" t="n">
        <f aca="false">W!A701</f>
        <v>1</v>
      </c>
      <c r="G65" s="23" t="n">
        <f aca="false">W!A721</f>
        <v>2</v>
      </c>
      <c r="H65" s="23" t="n">
        <f aca="false">W!A741</f>
        <v>3</v>
      </c>
      <c r="I65" s="23" t="n">
        <f aca="false">W!A761</f>
        <v>4</v>
      </c>
      <c r="J65" s="23" t="n">
        <f aca="false">W!A781</f>
        <v>5</v>
      </c>
      <c r="K65" s="23" t="n">
        <f aca="false">W!A801</f>
        <v>6</v>
      </c>
      <c r="L65" s="23" t="n">
        <f aca="false">W!A821</f>
        <v>7</v>
      </c>
      <c r="M65" s="23" t="n">
        <f aca="false">W!A841</f>
        <v>8</v>
      </c>
      <c r="N65" s="26"/>
    </row>
    <row r="66" customFormat="false" ht="11.45" hidden="false" customHeight="false" outlineLevel="0" collapsed="false">
      <c r="B66" s="92"/>
      <c r="C66" s="24" t="s">
        <v>300</v>
      </c>
      <c r="F66" s="45"/>
      <c r="G66" s="45"/>
      <c r="H66" s="45"/>
      <c r="I66" s="45"/>
      <c r="J66" s="45"/>
      <c r="L66" s="45"/>
      <c r="M66" s="45"/>
      <c r="N66" s="26"/>
    </row>
    <row r="67" customFormat="false" ht="11.45" hidden="false" customHeight="false" outlineLevel="0" collapsed="false">
      <c r="B67" s="92"/>
      <c r="C67" s="21" t="s">
        <v>301</v>
      </c>
      <c r="F67" s="45" t="n">
        <f aca="false">W!A702</f>
        <v>1370870</v>
      </c>
      <c r="G67" s="45" t="n">
        <f aca="false">W!A722</f>
        <v>1370870</v>
      </c>
      <c r="H67" s="45" t="n">
        <f aca="false">W!A742</f>
        <v>1370870</v>
      </c>
      <c r="I67" s="45" t="n">
        <f aca="false">W!A762</f>
        <v>1370870</v>
      </c>
      <c r="J67" s="45" t="n">
        <f aca="false">W!A782</f>
        <v>1370870</v>
      </c>
      <c r="K67" s="45" t="n">
        <f aca="false">W!A802</f>
        <v>1370870</v>
      </c>
      <c r="L67" s="45" t="n">
        <f aca="false">W!A822</f>
        <v>1370870</v>
      </c>
      <c r="M67" s="45" t="n">
        <f aca="false">W!A842</f>
        <v>1370870</v>
      </c>
      <c r="N67" s="26"/>
    </row>
    <row r="68" customFormat="false" ht="11.45" hidden="false" customHeight="false" outlineLevel="0" collapsed="false">
      <c r="B68" s="92"/>
      <c r="C68" s="21" t="s">
        <v>302</v>
      </c>
      <c r="F68" s="45" t="n">
        <f aca="false">W!A703</f>
        <v>136389</v>
      </c>
      <c r="G68" s="45" t="n">
        <f aca="false">W!A723</f>
        <v>136389</v>
      </c>
      <c r="H68" s="45" t="n">
        <f aca="false">W!A743</f>
        <v>136389</v>
      </c>
      <c r="I68" s="45" t="n">
        <f aca="false">W!A763</f>
        <v>136389</v>
      </c>
      <c r="J68" s="45" t="n">
        <f aca="false">W!A783</f>
        <v>136389</v>
      </c>
      <c r="K68" s="45" t="n">
        <f aca="false">W!A803</f>
        <v>136389</v>
      </c>
      <c r="L68" s="45" t="n">
        <f aca="false">W!A823</f>
        <v>136389</v>
      </c>
      <c r="M68" s="45" t="n">
        <f aca="false">W!A843</f>
        <v>136389</v>
      </c>
      <c r="N68" s="26"/>
    </row>
    <row r="69" customFormat="false" ht="11.45" hidden="false" customHeight="false" outlineLevel="0" collapsed="false">
      <c r="B69" s="92"/>
      <c r="C69" s="21" t="s">
        <v>303</v>
      </c>
      <c r="F69" s="45" t="n">
        <f aca="false">W!A704</f>
        <v>783183</v>
      </c>
      <c r="G69" s="45" t="n">
        <f aca="false">W!A724</f>
        <v>783183</v>
      </c>
      <c r="H69" s="45" t="n">
        <f aca="false">W!A744</f>
        <v>783183</v>
      </c>
      <c r="I69" s="45" t="n">
        <f aca="false">W!A764</f>
        <v>783183</v>
      </c>
      <c r="J69" s="45" t="n">
        <f aca="false">W!A784</f>
        <v>783183</v>
      </c>
      <c r="K69" s="45" t="n">
        <f aca="false">W!A804</f>
        <v>783183</v>
      </c>
      <c r="L69" s="45" t="n">
        <f aca="false">W!A824</f>
        <v>783183</v>
      </c>
      <c r="M69" s="45" t="n">
        <f aca="false">W!A844</f>
        <v>783183</v>
      </c>
      <c r="N69" s="26"/>
    </row>
    <row r="70" customFormat="false" ht="11.45" hidden="false" customHeight="false" outlineLevel="0" collapsed="false">
      <c r="B70" s="92"/>
      <c r="C70" s="21" t="s">
        <v>304</v>
      </c>
      <c r="F70" s="45" t="n">
        <f aca="false">W!A705</f>
        <v>1150000</v>
      </c>
      <c r="G70" s="45" t="n">
        <f aca="false">W!A725</f>
        <v>1150000</v>
      </c>
      <c r="H70" s="45" t="n">
        <f aca="false">W!A745</f>
        <v>1150000</v>
      </c>
      <c r="I70" s="45" t="n">
        <f aca="false">W!A765</f>
        <v>1150000</v>
      </c>
      <c r="J70" s="45" t="n">
        <f aca="false">W!A785</f>
        <v>1150000</v>
      </c>
      <c r="K70" s="45" t="n">
        <f aca="false">W!A805</f>
        <v>1150000</v>
      </c>
      <c r="L70" s="45" t="n">
        <f aca="false">W!A825</f>
        <v>1150000</v>
      </c>
      <c r="M70" s="45" t="n">
        <f aca="false">W!A845</f>
        <v>1150000</v>
      </c>
      <c r="N70" s="26"/>
    </row>
    <row r="71" customFormat="false" ht="11.45" hidden="false" customHeight="false" outlineLevel="0" collapsed="false">
      <c r="B71" s="92"/>
      <c r="F71" s="168"/>
      <c r="G71" s="168"/>
      <c r="H71" s="168"/>
      <c r="I71" s="168"/>
      <c r="J71" s="168"/>
      <c r="K71" s="168"/>
      <c r="L71" s="168"/>
      <c r="M71" s="168"/>
      <c r="N71" s="26"/>
    </row>
    <row r="72" customFormat="false" ht="11.45" hidden="false" customHeight="false" outlineLevel="0" collapsed="false">
      <c r="B72" s="92"/>
      <c r="C72" s="24" t="s">
        <v>305</v>
      </c>
      <c r="F72" s="45"/>
      <c r="G72" s="45"/>
      <c r="H72" s="45"/>
      <c r="I72" s="45"/>
      <c r="J72" s="45"/>
      <c r="K72" s="45"/>
      <c r="L72" s="45"/>
      <c r="M72" s="45"/>
      <c r="N72" s="26"/>
    </row>
    <row r="73" customFormat="false" ht="11.45" hidden="false" customHeight="false" outlineLevel="0" collapsed="false">
      <c r="B73" s="92"/>
      <c r="C73" s="21" t="s">
        <v>306</v>
      </c>
      <c r="F73" s="45" t="n">
        <f aca="false">W!A708</f>
        <v>0</v>
      </c>
      <c r="G73" s="45" t="n">
        <f aca="false">W!A728</f>
        <v>0</v>
      </c>
      <c r="H73" s="45" t="n">
        <f aca="false">W!A748</f>
        <v>0</v>
      </c>
      <c r="I73" s="45" t="n">
        <f aca="false">W!A768</f>
        <v>0</v>
      </c>
      <c r="J73" s="45" t="n">
        <f aca="false">W!A788</f>
        <v>0</v>
      </c>
      <c r="K73" s="45" t="n">
        <f aca="false">W!A808</f>
        <v>0</v>
      </c>
      <c r="L73" s="45" t="n">
        <f aca="false">W!A828</f>
        <v>0</v>
      </c>
      <c r="M73" s="45" t="n">
        <f aca="false">W!A848</f>
        <v>0</v>
      </c>
      <c r="N73" s="26"/>
    </row>
    <row r="74" customFormat="false" ht="11.45" hidden="false" customHeight="false" outlineLevel="0" collapsed="false">
      <c r="B74" s="92"/>
      <c r="C74" s="21" t="s">
        <v>307</v>
      </c>
      <c r="F74" s="45" t="n">
        <f aca="false">W!A709</f>
        <v>284228</v>
      </c>
      <c r="G74" s="45" t="n">
        <f aca="false">W!A729</f>
        <v>284228</v>
      </c>
      <c r="H74" s="45" t="n">
        <f aca="false">W!A749</f>
        <v>284228</v>
      </c>
      <c r="I74" s="45" t="n">
        <f aca="false">W!A769</f>
        <v>284228</v>
      </c>
      <c r="J74" s="45" t="n">
        <f aca="false">W!A789</f>
        <v>284228</v>
      </c>
      <c r="K74" s="45" t="n">
        <f aca="false">W!A809</f>
        <v>284228</v>
      </c>
      <c r="L74" s="45" t="n">
        <f aca="false">W!A829</f>
        <v>284228</v>
      </c>
      <c r="M74" s="45" t="n">
        <f aca="false">W!A849</f>
        <v>284228</v>
      </c>
      <c r="N74" s="26"/>
    </row>
    <row r="75" customFormat="false" ht="11.45" hidden="false" customHeight="false" outlineLevel="0" collapsed="false">
      <c r="B75" s="92"/>
      <c r="C75" s="21" t="s">
        <v>308</v>
      </c>
      <c r="F75" s="45" t="n">
        <f aca="false">W!A710</f>
        <v>97987</v>
      </c>
      <c r="G75" s="45" t="n">
        <f aca="false">W!A730</f>
        <v>97987</v>
      </c>
      <c r="H75" s="45" t="n">
        <f aca="false">W!A750</f>
        <v>97987</v>
      </c>
      <c r="I75" s="45" t="n">
        <f aca="false">W!A770</f>
        <v>97987</v>
      </c>
      <c r="J75" s="45" t="n">
        <f aca="false">W!A790</f>
        <v>97987</v>
      </c>
      <c r="K75" s="45" t="n">
        <f aca="false">W!A810</f>
        <v>97987</v>
      </c>
      <c r="L75" s="45" t="n">
        <f aca="false">W!A830</f>
        <v>97987</v>
      </c>
      <c r="M75" s="45" t="n">
        <f aca="false">W!A850</f>
        <v>97987</v>
      </c>
      <c r="N75" s="52"/>
    </row>
    <row r="76" customFormat="false" ht="11.45" hidden="false" customHeight="false" outlineLevel="0" collapsed="false">
      <c r="B76" s="92"/>
      <c r="C76" s="24"/>
      <c r="F76" s="45"/>
      <c r="G76" s="45"/>
      <c r="H76" s="45"/>
      <c r="I76" s="45"/>
      <c r="J76" s="45"/>
      <c r="K76" s="45"/>
      <c r="L76" s="45"/>
      <c r="M76" s="45"/>
      <c r="N76" s="26"/>
    </row>
    <row r="77" customFormat="false" ht="11.45" hidden="false" customHeight="false" outlineLevel="0" collapsed="false">
      <c r="B77" s="92"/>
      <c r="C77" s="21" t="s">
        <v>309</v>
      </c>
      <c r="F77" s="45" t="n">
        <f aca="false">W!A712</f>
        <v>0</v>
      </c>
      <c r="G77" s="45" t="n">
        <f aca="false">W!A732</f>
        <v>0</v>
      </c>
      <c r="H77" s="45" t="n">
        <f aca="false">W!A752</f>
        <v>0</v>
      </c>
      <c r="I77" s="45" t="n">
        <f aca="false">W!A772</f>
        <v>0</v>
      </c>
      <c r="J77" s="45" t="n">
        <f aca="false">W!A792</f>
        <v>0</v>
      </c>
      <c r="K77" s="45" t="n">
        <f aca="false">W!A812</f>
        <v>0</v>
      </c>
      <c r="L77" s="45" t="n">
        <f aca="false">W!A832</f>
        <v>0</v>
      </c>
      <c r="M77" s="45" t="n">
        <f aca="false">W!A852</f>
        <v>0</v>
      </c>
      <c r="N77" s="26"/>
    </row>
    <row r="78" customFormat="false" ht="11.45" hidden="false" customHeight="false" outlineLevel="0" collapsed="false">
      <c r="B78" s="92"/>
      <c r="F78" s="45"/>
      <c r="G78" s="45"/>
      <c r="H78" s="45"/>
      <c r="I78" s="45"/>
      <c r="J78" s="45"/>
      <c r="K78" s="45"/>
      <c r="L78" s="45"/>
      <c r="M78" s="45"/>
      <c r="N78" s="26"/>
    </row>
    <row r="79" customFormat="false" ht="11.45" hidden="false" customHeight="false" outlineLevel="0" collapsed="false">
      <c r="B79" s="92"/>
      <c r="C79" s="24" t="s">
        <v>310</v>
      </c>
      <c r="E79" s="72"/>
      <c r="F79" s="168"/>
      <c r="G79" s="168"/>
      <c r="H79" s="168"/>
      <c r="I79" s="168"/>
      <c r="J79" s="168"/>
      <c r="K79" s="168"/>
      <c r="L79" s="168"/>
      <c r="M79" s="168"/>
      <c r="N79" s="26"/>
    </row>
    <row r="80" customFormat="false" ht="11.45" hidden="false" customHeight="false" outlineLevel="0" collapsed="false">
      <c r="B80" s="92"/>
      <c r="C80" s="21" t="s">
        <v>311</v>
      </c>
      <c r="F80" s="45" t="n">
        <f aca="false">W!A714</f>
        <v>3000000</v>
      </c>
      <c r="G80" s="45" t="n">
        <f aca="false">W!A734</f>
        <v>3000000</v>
      </c>
      <c r="H80" s="45" t="n">
        <f aca="false">W!A754</f>
        <v>3000000</v>
      </c>
      <c r="I80" s="45" t="n">
        <f aca="false">W!A774</f>
        <v>3000000</v>
      </c>
      <c r="J80" s="45" t="n">
        <f aca="false">W!A794</f>
        <v>3000000</v>
      </c>
      <c r="K80" s="45" t="n">
        <f aca="false">W!A814</f>
        <v>3000000</v>
      </c>
      <c r="L80" s="45" t="n">
        <f aca="false">W!A834</f>
        <v>3000000</v>
      </c>
      <c r="M80" s="45" t="n">
        <f aca="false">W!A854</f>
        <v>3000000</v>
      </c>
      <c r="N80" s="26"/>
    </row>
    <row r="81" customFormat="false" ht="11.45" hidden="false" customHeight="false" outlineLevel="0" collapsed="false">
      <c r="B81" s="92"/>
      <c r="C81" s="21" t="s">
        <v>312</v>
      </c>
      <c r="F81" s="45" t="n">
        <f aca="false">W!A715</f>
        <v>0</v>
      </c>
      <c r="G81" s="45" t="n">
        <f aca="false">W!A735</f>
        <v>0</v>
      </c>
      <c r="H81" s="45" t="n">
        <f aca="false">W!A755</f>
        <v>0</v>
      </c>
      <c r="I81" s="45" t="n">
        <f aca="false">W!A775</f>
        <v>0</v>
      </c>
      <c r="J81" s="45" t="n">
        <f aca="false">W!A795</f>
        <v>0</v>
      </c>
      <c r="K81" s="45" t="n">
        <f aca="false">W!A815</f>
        <v>0</v>
      </c>
      <c r="L81" s="45" t="n">
        <f aca="false">W!A835</f>
        <v>0</v>
      </c>
      <c r="M81" s="45" t="n">
        <f aca="false">W!A855</f>
        <v>0</v>
      </c>
      <c r="N81" s="26"/>
    </row>
    <row r="82" customFormat="false" ht="11.45" hidden="false" customHeight="false" outlineLevel="0" collapsed="false">
      <c r="B82" s="92"/>
      <c r="C82" s="21" t="s">
        <v>313</v>
      </c>
      <c r="F82" s="45" t="n">
        <f aca="false">W!A716</f>
        <v>58227</v>
      </c>
      <c r="G82" s="45" t="n">
        <f aca="false">W!A736</f>
        <v>58227</v>
      </c>
      <c r="H82" s="45" t="n">
        <f aca="false">W!A756</f>
        <v>58227</v>
      </c>
      <c r="I82" s="45" t="n">
        <f aca="false">W!A776</f>
        <v>58227</v>
      </c>
      <c r="J82" s="45" t="n">
        <f aca="false">W!A796</f>
        <v>58227</v>
      </c>
      <c r="K82" s="45" t="n">
        <f aca="false">W!A816</f>
        <v>58227</v>
      </c>
      <c r="L82" s="45" t="n">
        <f aca="false">W!A836</f>
        <v>58227</v>
      </c>
      <c r="M82" s="45" t="n">
        <f aca="false">W!A856</f>
        <v>58227</v>
      </c>
      <c r="N82" s="26"/>
    </row>
    <row r="83" customFormat="false" ht="11.45" hidden="false" customHeight="false" outlineLevel="0" collapsed="false">
      <c r="B83" s="92"/>
      <c r="C83" s="24" t="s">
        <v>249</v>
      </c>
      <c r="F83" s="45" t="n">
        <f aca="false">SUM(F80:F82)</f>
        <v>3058227</v>
      </c>
      <c r="G83" s="45" t="n">
        <f aca="false">SUM(G80:G82)</f>
        <v>3058227</v>
      </c>
      <c r="H83" s="45" t="n">
        <f aca="false">SUM(H80:H82)</f>
        <v>3058227</v>
      </c>
      <c r="I83" s="45" t="n">
        <f aca="false">SUM(I80:I82)</f>
        <v>3058227</v>
      </c>
      <c r="J83" s="45" t="n">
        <f aca="false">SUM(J80:J82)</f>
        <v>3058227</v>
      </c>
      <c r="K83" s="45" t="n">
        <f aca="false">SUM(K80:K82)</f>
        <v>3058227</v>
      </c>
      <c r="L83" s="45" t="n">
        <f aca="false">SUM(L80:L82)</f>
        <v>3058227</v>
      </c>
      <c r="M83" s="45" t="n">
        <f aca="false">SUM(M80:M82)</f>
        <v>3058227</v>
      </c>
      <c r="N83" s="26"/>
    </row>
    <row r="84" customFormat="false" ht="11.45" hidden="false" customHeight="false" outlineLevel="0" collapsed="false">
      <c r="B84" s="93"/>
      <c r="C84" s="63"/>
      <c r="D84" s="63"/>
      <c r="E84" s="63"/>
      <c r="F84" s="63"/>
      <c r="G84" s="63"/>
      <c r="H84" s="63"/>
      <c r="I84" s="80"/>
      <c r="J84" s="63"/>
      <c r="K84" s="63"/>
      <c r="L84" s="63"/>
      <c r="M84" s="63"/>
      <c r="N84" s="75"/>
    </row>
    <row r="85" customFormat="false" ht="11.45" hidden="false" customHeight="false" outlineLevel="0" collapsed="false"/>
    <row r="86" customFormat="false" ht="11.45" hidden="false" customHeight="false" outlineLevel="0" collapsed="false"/>
    <row r="87" customFormat="false" ht="11.45" hidden="false" customHeight="false" outlineLevel="0" collapsed="false">
      <c r="B87" s="34"/>
      <c r="C87" s="73"/>
      <c r="D87" s="73"/>
      <c r="E87" s="73"/>
      <c r="F87" s="73"/>
      <c r="G87" s="73"/>
      <c r="H87" s="73"/>
      <c r="I87" s="98"/>
      <c r="J87" s="73"/>
      <c r="K87" s="73"/>
      <c r="L87" s="73"/>
      <c r="M87" s="73"/>
      <c r="N87" s="81"/>
    </row>
    <row r="88" customFormat="false" ht="11.45" hidden="false" customHeight="false" outlineLevel="0" collapsed="false">
      <c r="B88" s="92"/>
      <c r="C88" s="24" t="s">
        <v>314</v>
      </c>
      <c r="I88" s="45"/>
      <c r="K88" s="169" t="str">
        <f aca="false">W!A330</f>
        <v>Not requested</v>
      </c>
      <c r="N88" s="26"/>
    </row>
    <row r="89" customFormat="false" ht="11.45" hidden="false" customHeight="false" outlineLevel="0" collapsed="false">
      <c r="B89" s="92"/>
      <c r="D89" s="21" t="s">
        <v>315</v>
      </c>
      <c r="F89" s="166" t="str">
        <f aca="false">W!A331</f>
        <v> </v>
      </c>
      <c r="G89" s="166" t="str">
        <f aca="false">W!A341</f>
        <v> </v>
      </c>
      <c r="H89" s="166" t="str">
        <f aca="false">W!A351</f>
        <v> </v>
      </c>
      <c r="I89" s="166" t="str">
        <f aca="false">W!A361</f>
        <v> </v>
      </c>
      <c r="J89" s="166" t="str">
        <f aca="false">W!A371</f>
        <v> </v>
      </c>
      <c r="K89" s="166" t="str">
        <f aca="false">W!A381</f>
        <v> </v>
      </c>
      <c r="L89" s="166" t="str">
        <f aca="false">W!A391</f>
        <v> </v>
      </c>
      <c r="M89" s="166" t="str">
        <f aca="false">W!A401</f>
        <v> </v>
      </c>
      <c r="N89" s="26"/>
    </row>
    <row r="90" customFormat="false" ht="11.45" hidden="false" customHeight="false" outlineLevel="0" collapsed="false">
      <c r="B90" s="92"/>
      <c r="C90" s="24" t="s">
        <v>316</v>
      </c>
      <c r="F90" s="72"/>
      <c r="G90" s="72"/>
      <c r="H90" s="72"/>
      <c r="I90" s="40"/>
      <c r="J90" s="72"/>
      <c r="L90" s="72"/>
      <c r="M90" s="72"/>
      <c r="N90" s="26"/>
    </row>
    <row r="91" customFormat="false" ht="11.45" hidden="false" customHeight="false" outlineLevel="0" collapsed="false">
      <c r="B91" s="92"/>
      <c r="C91" s="21" t="s">
        <v>317</v>
      </c>
      <c r="F91" s="62" t="str">
        <f aca="false">W!A332</f>
        <v> </v>
      </c>
      <c r="G91" s="62" t="str">
        <f aca="false">W!A342</f>
        <v> </v>
      </c>
      <c r="H91" s="62" t="str">
        <f aca="false">W!A352</f>
        <v> </v>
      </c>
      <c r="I91" s="62" t="str">
        <f aca="false">W!A362</f>
        <v> </v>
      </c>
      <c r="J91" s="62" t="str">
        <f aca="false">W!A372</f>
        <v> </v>
      </c>
      <c r="K91" s="62" t="str">
        <f aca="false">W!A382</f>
        <v> </v>
      </c>
      <c r="L91" s="62" t="str">
        <f aca="false">W!A392</f>
        <v> </v>
      </c>
      <c r="M91" s="62" t="str">
        <f aca="false">W!A402</f>
        <v> </v>
      </c>
      <c r="N91" s="26"/>
    </row>
    <row r="92" customFormat="false" ht="11.45" hidden="false" customHeight="false" outlineLevel="0" collapsed="false">
      <c r="B92" s="92"/>
      <c r="C92" s="21" t="s">
        <v>291</v>
      </c>
      <c r="D92" s="30" t="s">
        <v>110</v>
      </c>
      <c r="F92" s="62" t="str">
        <f aca="false">W!A333</f>
        <v> </v>
      </c>
      <c r="G92" s="62" t="str">
        <f aca="false">W!A343</f>
        <v> </v>
      </c>
      <c r="H92" s="62" t="str">
        <f aca="false">W!A353</f>
        <v> </v>
      </c>
      <c r="I92" s="62" t="str">
        <f aca="false">W!A363</f>
        <v> </v>
      </c>
      <c r="J92" s="62" t="str">
        <f aca="false">W!A373</f>
        <v> </v>
      </c>
      <c r="K92" s="62" t="str">
        <f aca="false">W!A383</f>
        <v> </v>
      </c>
      <c r="L92" s="62" t="str">
        <f aca="false">W!A393</f>
        <v> </v>
      </c>
      <c r="M92" s="62" t="str">
        <f aca="false">W!A403</f>
        <v> </v>
      </c>
      <c r="N92" s="26"/>
    </row>
    <row r="93" customFormat="false" ht="11.45" hidden="false" customHeight="false" outlineLevel="0" collapsed="false">
      <c r="B93" s="92"/>
      <c r="D93" s="21" t="s">
        <v>113</v>
      </c>
      <c r="F93" s="62" t="str">
        <f aca="false">W!A334</f>
        <v> </v>
      </c>
      <c r="G93" s="62" t="str">
        <f aca="false">W!A344</f>
        <v> </v>
      </c>
      <c r="H93" s="62" t="str">
        <f aca="false">W!A354</f>
        <v> </v>
      </c>
      <c r="I93" s="62" t="str">
        <f aca="false">W!A364</f>
        <v> </v>
      </c>
      <c r="J93" s="62" t="str">
        <f aca="false">W!A374</f>
        <v> </v>
      </c>
      <c r="K93" s="62" t="str">
        <f aca="false">W!A384</f>
        <v> </v>
      </c>
      <c r="L93" s="62" t="str">
        <f aca="false">W!A394</f>
        <v> </v>
      </c>
      <c r="M93" s="62" t="str">
        <f aca="false">W!A404</f>
        <v> </v>
      </c>
      <c r="N93" s="26"/>
    </row>
    <row r="94" customFormat="false" ht="11.45" hidden="false" customHeight="false" outlineLevel="0" collapsed="false">
      <c r="B94" s="92"/>
      <c r="C94" s="21" t="s">
        <v>292</v>
      </c>
      <c r="F94" s="62" t="str">
        <f aca="false">W!A335</f>
        <v> </v>
      </c>
      <c r="G94" s="62" t="str">
        <f aca="false">W!A345</f>
        <v> </v>
      </c>
      <c r="H94" s="62" t="str">
        <f aca="false">W!A355</f>
        <v> </v>
      </c>
      <c r="I94" s="62" t="str">
        <f aca="false">W!A365</f>
        <v> </v>
      </c>
      <c r="J94" s="62" t="str">
        <f aca="false">W!A375</f>
        <v> </v>
      </c>
      <c r="K94" s="62" t="str">
        <f aca="false">W!A385</f>
        <v> </v>
      </c>
      <c r="L94" s="62" t="str">
        <f aca="false">W!A395</f>
        <v> </v>
      </c>
      <c r="M94" s="62" t="str">
        <f aca="false">W!A405</f>
        <v> </v>
      </c>
      <c r="N94" s="26"/>
    </row>
    <row r="95" customFormat="false" ht="11.45" hidden="false" customHeight="false" outlineLevel="0" collapsed="false">
      <c r="B95" s="92"/>
      <c r="C95" s="21" t="s">
        <v>291</v>
      </c>
      <c r="D95" s="30" t="s">
        <v>110</v>
      </c>
      <c r="F95" s="62" t="str">
        <f aca="false">W!A336</f>
        <v> </v>
      </c>
      <c r="G95" s="62" t="str">
        <f aca="false">W!A346</f>
        <v> </v>
      </c>
      <c r="H95" s="62" t="str">
        <f aca="false">W!A356</f>
        <v> </v>
      </c>
      <c r="I95" s="62" t="str">
        <f aca="false">W!A366</f>
        <v> </v>
      </c>
      <c r="J95" s="62" t="str">
        <f aca="false">W!A376</f>
        <v> </v>
      </c>
      <c r="K95" s="62" t="str">
        <f aca="false">W!A386</f>
        <v> </v>
      </c>
      <c r="L95" s="62" t="str">
        <f aca="false">W!A396</f>
        <v> </v>
      </c>
      <c r="M95" s="62" t="str">
        <f aca="false">W!A406</f>
        <v> </v>
      </c>
      <c r="N95" s="26"/>
    </row>
    <row r="96" customFormat="false" ht="11.45" hidden="false" customHeight="false" outlineLevel="0" collapsed="false">
      <c r="B96" s="92"/>
      <c r="D96" s="21" t="s">
        <v>113</v>
      </c>
      <c r="F96" s="62" t="str">
        <f aca="false">W!A337</f>
        <v> </v>
      </c>
      <c r="G96" s="62" t="str">
        <f aca="false">W!A347</f>
        <v> </v>
      </c>
      <c r="H96" s="62" t="str">
        <f aca="false">W!A357</f>
        <v> </v>
      </c>
      <c r="I96" s="62" t="str">
        <f aca="false">W!A367</f>
        <v> </v>
      </c>
      <c r="J96" s="62" t="str">
        <f aca="false">W!A377</f>
        <v> </v>
      </c>
      <c r="K96" s="62" t="str">
        <f aca="false">W!A387</f>
        <v> </v>
      </c>
      <c r="L96" s="62" t="str">
        <f aca="false">W!A397</f>
        <v> </v>
      </c>
      <c r="M96" s="62" t="str">
        <f aca="false">W!A407</f>
        <v> </v>
      </c>
      <c r="N96" s="26"/>
    </row>
    <row r="97" customFormat="false" ht="11.45" hidden="false" customHeight="false" outlineLevel="0" collapsed="false">
      <c r="B97" s="92"/>
      <c r="C97" s="21" t="s">
        <v>293</v>
      </c>
      <c r="F97" s="62" t="str">
        <f aca="false">W!A338</f>
        <v> </v>
      </c>
      <c r="G97" s="62" t="str">
        <f aca="false">W!A348</f>
        <v> </v>
      </c>
      <c r="H97" s="62" t="str">
        <f aca="false">W!A358</f>
        <v> </v>
      </c>
      <c r="I97" s="62" t="str">
        <f aca="false">W!A368</f>
        <v> </v>
      </c>
      <c r="J97" s="62" t="str">
        <f aca="false">W!A378</f>
        <v> </v>
      </c>
      <c r="K97" s="62" t="str">
        <f aca="false">W!A388</f>
        <v> </v>
      </c>
      <c r="L97" s="62" t="str">
        <f aca="false">W!A398</f>
        <v> </v>
      </c>
      <c r="M97" s="62" t="str">
        <f aca="false">W!A408</f>
        <v> </v>
      </c>
      <c r="N97" s="26"/>
    </row>
    <row r="98" customFormat="false" ht="11.45" hidden="false" customHeight="false" outlineLevel="0" collapsed="false">
      <c r="B98" s="92"/>
      <c r="C98" s="21" t="s">
        <v>291</v>
      </c>
      <c r="D98" s="30" t="s">
        <v>110</v>
      </c>
      <c r="F98" s="62" t="str">
        <f aca="false">W!A339</f>
        <v> </v>
      </c>
      <c r="G98" s="62" t="str">
        <f aca="false">W!A349</f>
        <v> </v>
      </c>
      <c r="H98" s="62" t="str">
        <f aca="false">W!A359</f>
        <v> </v>
      </c>
      <c r="I98" s="62" t="str">
        <f aca="false">W!A369</f>
        <v> </v>
      </c>
      <c r="J98" s="62" t="str">
        <f aca="false">W!A379</f>
        <v> </v>
      </c>
      <c r="K98" s="62" t="str">
        <f aca="false">W!A389</f>
        <v> </v>
      </c>
      <c r="L98" s="62" t="str">
        <f aca="false">W!A399</f>
        <v> </v>
      </c>
      <c r="M98" s="62" t="str">
        <f aca="false">W!A409</f>
        <v> </v>
      </c>
      <c r="N98" s="26"/>
    </row>
    <row r="99" customFormat="false" ht="11.45" hidden="false" customHeight="false" outlineLevel="0" collapsed="false">
      <c r="B99" s="92"/>
      <c r="D99" s="21" t="s">
        <v>113</v>
      </c>
      <c r="F99" s="62" t="str">
        <f aca="false">W!A340</f>
        <v> </v>
      </c>
      <c r="G99" s="62" t="str">
        <f aca="false">W!A350</f>
        <v> </v>
      </c>
      <c r="H99" s="62" t="str">
        <f aca="false">W!A360</f>
        <v> </v>
      </c>
      <c r="I99" s="62" t="str">
        <f aca="false">W!A370</f>
        <v> </v>
      </c>
      <c r="J99" s="62" t="str">
        <f aca="false">W!A380</f>
        <v> </v>
      </c>
      <c r="K99" s="62" t="str">
        <f aca="false">W!A390</f>
        <v> </v>
      </c>
      <c r="L99" s="62" t="str">
        <f aca="false">W!A400</f>
        <v> </v>
      </c>
      <c r="M99" s="62" t="str">
        <f aca="false">W!A410</f>
        <v> </v>
      </c>
      <c r="N99" s="26"/>
    </row>
    <row r="100" customFormat="false" ht="11.45" hidden="false" customHeight="false" outlineLevel="0" collapsed="false">
      <c r="B100" s="93"/>
      <c r="C100" s="63"/>
      <c r="D100" s="63"/>
      <c r="E100" s="63"/>
      <c r="F100" s="58"/>
      <c r="G100" s="58"/>
      <c r="H100" s="58"/>
      <c r="I100" s="58"/>
      <c r="J100" s="58"/>
      <c r="K100" s="58"/>
      <c r="L100" s="58"/>
      <c r="M100" s="58"/>
      <c r="N100" s="75"/>
    </row>
    <row r="101" customFormat="false" ht="11.45" hidden="false" customHeight="false" outlineLevel="0" collapsed="false">
      <c r="B101" s="92"/>
      <c r="C101" s="73"/>
      <c r="F101" s="45"/>
      <c r="G101" s="45"/>
      <c r="H101" s="45"/>
      <c r="I101" s="45"/>
      <c r="J101" s="45"/>
      <c r="K101" s="45"/>
      <c r="L101" s="45"/>
      <c r="M101" s="45"/>
      <c r="N101" s="26"/>
    </row>
    <row r="102" customFormat="false" ht="11.45" hidden="false" customHeight="false" outlineLevel="0" collapsed="false">
      <c r="B102" s="92"/>
      <c r="C102" s="24" t="s">
        <v>318</v>
      </c>
      <c r="I102" s="45"/>
      <c r="K102" s="40" t="str">
        <f aca="false">W!A420</f>
        <v> </v>
      </c>
      <c r="N102" s="26"/>
    </row>
    <row r="103" customFormat="false" ht="11.45" hidden="false" customHeight="false" outlineLevel="0" collapsed="false">
      <c r="B103" s="92"/>
      <c r="D103" s="21" t="s">
        <v>319</v>
      </c>
      <c r="F103" s="166" t="n">
        <f aca="false">W!A421</f>
        <v>1</v>
      </c>
      <c r="G103" s="166" t="n">
        <f aca="false">W!A428</f>
        <v>2</v>
      </c>
      <c r="H103" s="166" t="n">
        <f aca="false">W!A435</f>
        <v>3</v>
      </c>
      <c r="I103" s="166" t="n">
        <f aca="false">W!A442</f>
        <v>4</v>
      </c>
      <c r="J103" s="166" t="n">
        <f aca="false">W!A449</f>
        <v>5</v>
      </c>
      <c r="K103" s="166" t="n">
        <f aca="false">W!A456</f>
        <v>6</v>
      </c>
      <c r="L103" s="166" t="n">
        <f aca="false">W!A463</f>
        <v>7</v>
      </c>
      <c r="M103" s="166" t="n">
        <f aca="false">W!A470</f>
        <v>8</v>
      </c>
      <c r="N103" s="26"/>
    </row>
    <row r="104" customFormat="false" ht="11.45" hidden="false" customHeight="false" outlineLevel="0" collapsed="false">
      <c r="B104" s="92"/>
      <c r="C104" s="21" t="s">
        <v>320</v>
      </c>
      <c r="F104" s="45" t="n">
        <f aca="false">W!A422</f>
        <v>90000</v>
      </c>
      <c r="G104" s="45" t="n">
        <f aca="false">W!A429</f>
        <v>90000</v>
      </c>
      <c r="H104" s="45" t="n">
        <f aca="false">W!A436</f>
        <v>90000</v>
      </c>
      <c r="I104" s="45" t="n">
        <f aca="false">W!A443</f>
        <v>90000</v>
      </c>
      <c r="J104" s="45" t="n">
        <f aca="false">W!A450</f>
        <v>90000</v>
      </c>
      <c r="K104" s="45" t="n">
        <f aca="false">W!A457</f>
        <v>90000</v>
      </c>
      <c r="L104" s="45" t="n">
        <f aca="false">W!A464</f>
        <v>90000</v>
      </c>
      <c r="M104" s="45" t="n">
        <f aca="false">W!A471</f>
        <v>90000</v>
      </c>
      <c r="N104" s="26"/>
    </row>
    <row r="105" customFormat="false" ht="11.45" hidden="false" customHeight="false" outlineLevel="0" collapsed="false">
      <c r="B105" s="92"/>
      <c r="C105" s="21" t="s">
        <v>321</v>
      </c>
      <c r="F105" s="45" t="n">
        <f aca="false">W!A423</f>
        <v>55000</v>
      </c>
      <c r="G105" s="45" t="n">
        <f aca="false">W!A430</f>
        <v>55000</v>
      </c>
      <c r="H105" s="45" t="n">
        <f aca="false">W!A437</f>
        <v>55000</v>
      </c>
      <c r="I105" s="45" t="n">
        <f aca="false">W!A444</f>
        <v>55000</v>
      </c>
      <c r="J105" s="45" t="n">
        <f aca="false">W!A451</f>
        <v>55000</v>
      </c>
      <c r="K105" s="45" t="n">
        <f aca="false">W!A458</f>
        <v>55000</v>
      </c>
      <c r="L105" s="45" t="n">
        <f aca="false">W!A465</f>
        <v>55000</v>
      </c>
      <c r="M105" s="45" t="n">
        <f aca="false">W!A472</f>
        <v>55000</v>
      </c>
      <c r="N105" s="26"/>
    </row>
    <row r="106" customFormat="false" ht="11.45" hidden="false" customHeight="false" outlineLevel="0" collapsed="false">
      <c r="B106" s="92"/>
      <c r="C106" s="21" t="s">
        <v>322</v>
      </c>
      <c r="F106" s="40"/>
      <c r="G106" s="40"/>
      <c r="H106" s="40"/>
      <c r="I106" s="40"/>
      <c r="J106" s="40"/>
      <c r="K106" s="40"/>
      <c r="L106" s="40"/>
      <c r="M106" s="40"/>
      <c r="N106" s="26"/>
    </row>
    <row r="107" customFormat="false" ht="11.45" hidden="false" customHeight="false" outlineLevel="0" collapsed="false">
      <c r="B107" s="92"/>
      <c r="C107" s="21" t="s">
        <v>323</v>
      </c>
      <c r="F107" s="170" t="str">
        <f aca="false">W!A424</f>
        <v>   **</v>
      </c>
      <c r="G107" s="170" t="str">
        <f aca="false">W!A431</f>
        <v>   **</v>
      </c>
      <c r="H107" s="170" t="str">
        <f aca="false">W!A438</f>
        <v>   **</v>
      </c>
      <c r="I107" s="170" t="str">
        <f aca="false">W!A445</f>
        <v>   **</v>
      </c>
      <c r="J107" s="170" t="str">
        <f aca="false">W!A452</f>
        <v>   **</v>
      </c>
      <c r="K107" s="170" t="str">
        <f aca="false">W!A459</f>
        <v>   **</v>
      </c>
      <c r="L107" s="170" t="str">
        <f aca="false">W!A466</f>
        <v>   **</v>
      </c>
      <c r="M107" s="170" t="str">
        <f aca="false">W!A473</f>
        <v>   **</v>
      </c>
      <c r="N107" s="26"/>
    </row>
    <row r="108" customFormat="false" ht="11.45" hidden="false" customHeight="false" outlineLevel="0" collapsed="false">
      <c r="B108" s="92"/>
      <c r="C108" s="21" t="s">
        <v>324</v>
      </c>
      <c r="F108" s="170" t="str">
        <f aca="false">W!A425</f>
        <v>  ***</v>
      </c>
      <c r="G108" s="170" t="str">
        <f aca="false">W!A432</f>
        <v>  ***</v>
      </c>
      <c r="H108" s="170" t="str">
        <f aca="false">W!A439</f>
        <v>  ***</v>
      </c>
      <c r="I108" s="170" t="str">
        <f aca="false">W!A446</f>
        <v>  ***</v>
      </c>
      <c r="J108" s="170" t="str">
        <f aca="false">W!A453</f>
        <v>  ***</v>
      </c>
      <c r="K108" s="170" t="str">
        <f aca="false">W!A460</f>
        <v>  ***</v>
      </c>
      <c r="L108" s="170" t="str">
        <f aca="false">W!A467</f>
        <v>  ***</v>
      </c>
      <c r="M108" s="170" t="str">
        <f aca="false">W!A474</f>
        <v>  ***</v>
      </c>
      <c r="N108" s="26"/>
    </row>
    <row r="109" customFormat="false" ht="11.45" hidden="false" customHeight="false" outlineLevel="0" collapsed="false">
      <c r="B109" s="92"/>
      <c r="C109" s="21" t="s">
        <v>325</v>
      </c>
      <c r="F109" s="170" t="str">
        <f aca="false">W!A426</f>
        <v>   **</v>
      </c>
      <c r="G109" s="170" t="str">
        <f aca="false">W!A433</f>
        <v>   **</v>
      </c>
      <c r="H109" s="170" t="str">
        <f aca="false">W!A440</f>
        <v>   **</v>
      </c>
      <c r="I109" s="170" t="str">
        <f aca="false">W!A447</f>
        <v>   **</v>
      </c>
      <c r="J109" s="170" t="str">
        <f aca="false">W!A454</f>
        <v>   **</v>
      </c>
      <c r="K109" s="170" t="str">
        <f aca="false">W!A461</f>
        <v>   **</v>
      </c>
      <c r="L109" s="170" t="str">
        <f aca="false">W!A468</f>
        <v>   **</v>
      </c>
      <c r="M109" s="170" t="str">
        <f aca="false">W!A475</f>
        <v>   **</v>
      </c>
      <c r="N109" s="26"/>
    </row>
    <row r="110" customFormat="false" ht="11.45" hidden="false" customHeight="false" outlineLevel="0" collapsed="false">
      <c r="B110" s="92"/>
      <c r="C110" s="21" t="s">
        <v>326</v>
      </c>
      <c r="F110" s="170" t="str">
        <f aca="false">W!A427</f>
        <v>   **</v>
      </c>
      <c r="G110" s="170" t="str">
        <f aca="false">W!A434</f>
        <v>   **</v>
      </c>
      <c r="H110" s="170" t="str">
        <f aca="false">W!A441</f>
        <v>   **</v>
      </c>
      <c r="I110" s="170" t="str">
        <f aca="false">W!A448</f>
        <v>   **</v>
      </c>
      <c r="J110" s="170" t="str">
        <f aca="false">W!A455</f>
        <v>   **</v>
      </c>
      <c r="K110" s="170" t="str">
        <f aca="false">W!A462</f>
        <v>   **</v>
      </c>
      <c r="L110" s="170" t="str">
        <f aca="false">W!A469</f>
        <v>   **</v>
      </c>
      <c r="M110" s="170" t="str">
        <f aca="false">W!A476</f>
        <v>   **</v>
      </c>
      <c r="N110" s="26"/>
    </row>
    <row r="111" customFormat="false" ht="11.45" hidden="false" customHeight="false" outlineLevel="0" collapsed="false">
      <c r="B111" s="93"/>
      <c r="C111" s="63"/>
      <c r="D111" s="63"/>
      <c r="E111" s="63"/>
      <c r="F111" s="63"/>
      <c r="G111" s="63"/>
      <c r="H111" s="63"/>
      <c r="I111" s="80"/>
      <c r="J111" s="63"/>
      <c r="K111" s="63"/>
      <c r="L111" s="63"/>
      <c r="M111" s="63"/>
      <c r="N111" s="75"/>
    </row>
    <row r="112" customFormat="false" ht="52.5" hidden="false" customHeight="true" outlineLevel="0" collapsed="false">
      <c r="B112" s="167" t="s">
        <v>62</v>
      </c>
      <c r="C112" s="167"/>
      <c r="D112" s="167"/>
      <c r="E112" s="167"/>
      <c r="F112" s="167"/>
      <c r="G112" s="167"/>
      <c r="H112" s="167"/>
      <c r="I112" s="167"/>
      <c r="J112" s="167"/>
      <c r="K112" s="167"/>
      <c r="L112" s="167"/>
      <c r="M112" s="167"/>
      <c r="N112" s="167"/>
    </row>
    <row r="113" customFormat="false" ht="12.75" hidden="false" customHeight="true" outlineLevel="0" collapsed="false"/>
    <row r="114" customFormat="false" ht="11.25" hidden="false" customHeight="false" outlineLevel="0" collapsed="false">
      <c r="H114" s="66"/>
    </row>
  </sheetData>
  <mergeCells count="2">
    <mergeCell ref="B57:N57"/>
    <mergeCell ref="B112:N112"/>
  </mergeCells>
  <printOptions headings="false" gridLines="false" gridLinesSet="true" horizontalCentered="false" verticalCentered="false"/>
  <pageMargins left="0.354166666666667" right="0.157638888888889" top="0.590277777777778" bottom="0.393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61"/>
  <sheetViews>
    <sheetView showFormulas="false" showGridLines="false" showRowColHeaders="true" showZeros="true" rightToLeft="false" tabSelected="false" showOutlineSymbols="true" defaultGridColor="true" view="normal" topLeftCell="A670" colorId="64" zoomScale="100" zoomScaleNormal="100" zoomScalePageLayoutView="100" workbookViewId="0">
      <selection pane="topLeft" activeCell="A699" activeCellId="0" sqref="A699"/>
    </sheetView>
  </sheetViews>
  <sheetFormatPr defaultColWidth="8.5078125" defaultRowHeight="12.75" customHeight="false" zeroHeight="false" outlineLevelRow="0" outlineLevelCol="0"/>
  <cols>
    <col collapsed="false" customWidth="true" hidden="false" outlineLevel="0" max="1" min="1" style="1" width="63"/>
    <col collapsed="false" customWidth="true" hidden="false" outlineLevel="0" max="2" min="2" style="1" width="2.88"/>
    <col collapsed="false" customWidth="true" hidden="false" outlineLevel="0" max="4" min="4" style="1" width="1.67"/>
    <col collapsed="false" customWidth="true" hidden="false" outlineLevel="0" max="6" min="6" style="1" width="1.67"/>
    <col collapsed="false" customWidth="true" hidden="false" outlineLevel="0" max="8" min="8" style="1" width="1.67"/>
    <col collapsed="false" customWidth="true" hidden="false" outlineLevel="0" max="10" min="10" style="1" width="1.67"/>
    <col collapsed="false" customWidth="true" hidden="false" outlineLevel="0" max="12" min="12" style="1" width="1.67"/>
    <col collapsed="false" customWidth="true" hidden="false" outlineLevel="0" max="14" min="14" style="1" width="1.67"/>
    <col collapsed="false" customWidth="true" hidden="false" outlineLevel="0" max="16" min="16" style="1" width="1.67"/>
    <col collapsed="false" customWidth="true" hidden="false" outlineLevel="0" max="18" min="18" style="1" width="1.67"/>
    <col collapsed="false" customWidth="true" hidden="false" outlineLevel="0" max="20" min="20" style="1" width="1.67"/>
  </cols>
  <sheetData>
    <row r="1" customFormat="false" ht="12.75" hidden="false" customHeight="false" outlineLevel="0" collapsed="false">
      <c r="A1" s="1" t="n">
        <v>0</v>
      </c>
    </row>
    <row r="2" customFormat="false" ht="12.75" hidden="false" customHeight="false" outlineLevel="0" collapsed="false">
      <c r="A2" s="1" t="n">
        <v>0</v>
      </c>
    </row>
    <row r="3" customFormat="false" ht="12.75" hidden="false" customHeight="false" outlineLevel="0" collapsed="false">
      <c r="A3" s="1" t="n">
        <v>999</v>
      </c>
    </row>
    <row r="4" customFormat="false" ht="12.75" hidden="false" customHeight="false" outlineLevel="0" collapsed="false">
      <c r="A4" s="1" t="n">
        <v>2026</v>
      </c>
    </row>
    <row r="5" customFormat="false" ht="12.75" hidden="false" customHeight="false" outlineLevel="0" collapsed="false">
      <c r="A5" s="1" t="n">
        <v>1</v>
      </c>
    </row>
    <row r="6" customFormat="false" ht="12.75" hidden="false" customHeight="false" outlineLevel="0" collapsed="false">
      <c r="A6" s="1" t="s">
        <v>327</v>
      </c>
    </row>
    <row r="7" customFormat="false" ht="12.75" hidden="false" customHeight="false" outlineLevel="0" collapsed="false">
      <c r="A7" s="1" t="n">
        <v>15</v>
      </c>
    </row>
    <row r="8" customFormat="false" ht="12.75" hidden="false" customHeight="false" outlineLevel="0" collapsed="false">
      <c r="A8" s="1" t="n">
        <v>5</v>
      </c>
    </row>
    <row r="9" customFormat="false" ht="12.75" hidden="false" customHeight="false" outlineLevel="0" collapsed="false">
      <c r="A9" s="1" t="n">
        <v>10</v>
      </c>
    </row>
    <row r="10" customFormat="false" ht="12.75" hidden="false" customHeight="false" outlineLevel="0" collapsed="false">
      <c r="A10" s="1" t="n">
        <v>0</v>
      </c>
    </row>
    <row r="11" customFormat="false" ht="12.75" hidden="false" customHeight="false" outlineLevel="0" collapsed="false">
      <c r="A11" s="1" t="n">
        <v>10</v>
      </c>
    </row>
    <row r="12" customFormat="false" ht="12.75" hidden="false" customHeight="false" outlineLevel="0" collapsed="false">
      <c r="A12" s="1" t="n">
        <v>5</v>
      </c>
    </row>
    <row r="13" customFormat="false" ht="12.75" hidden="false" customHeight="false" outlineLevel="0" collapsed="false">
      <c r="A13" s="1" t="n">
        <v>5</v>
      </c>
    </row>
    <row r="14" customFormat="false" ht="12.75" hidden="false" customHeight="false" outlineLevel="0" collapsed="false">
      <c r="A14" s="1" t="n">
        <v>10</v>
      </c>
    </row>
    <row r="15" customFormat="false" ht="12.75" hidden="false" customHeight="false" outlineLevel="0" collapsed="false">
      <c r="A15" s="1" t="n">
        <v>5</v>
      </c>
    </row>
    <row r="16" customFormat="false" ht="12.75" hidden="false" customHeight="false" outlineLevel="0" collapsed="false">
      <c r="A16" s="1" t="n">
        <v>5</v>
      </c>
    </row>
    <row r="17" customFormat="false" ht="12.75" hidden="false" customHeight="false" outlineLevel="0" collapsed="false">
      <c r="A17" s="1" t="n">
        <v>10</v>
      </c>
    </row>
    <row r="18" customFormat="false" ht="12.75" hidden="false" customHeight="false" outlineLevel="0" collapsed="false">
      <c r="A18" s="1" t="n">
        <v>5</v>
      </c>
    </row>
    <row r="19" customFormat="false" ht="12.75" hidden="false" customHeight="false" outlineLevel="0" collapsed="false">
      <c r="A19" s="1" t="n">
        <v>5</v>
      </c>
    </row>
    <row r="20" customFormat="false" ht="12.75" hidden="false" customHeight="false" outlineLevel="0" collapsed="false">
      <c r="A20" s="1" t="n">
        <v>0</v>
      </c>
    </row>
    <row r="21" customFormat="false" ht="12.75" hidden="false" customHeight="false" outlineLevel="0" collapsed="false">
      <c r="A21" s="1" t="n">
        <v>325</v>
      </c>
    </row>
    <row r="22" customFormat="false" ht="12.75" hidden="false" customHeight="false" outlineLevel="0" collapsed="false">
      <c r="A22" s="1" t="n">
        <v>335</v>
      </c>
    </row>
    <row r="23" customFormat="false" ht="12.75" hidden="false" customHeight="false" outlineLevel="0" collapsed="false">
      <c r="A23" s="1" t="n">
        <v>375</v>
      </c>
    </row>
    <row r="24" customFormat="false" ht="12.75" hidden="false" customHeight="false" outlineLevel="0" collapsed="false">
      <c r="A24" s="1" t="n">
        <v>490</v>
      </c>
    </row>
    <row r="25" customFormat="false" ht="12.75" hidden="false" customHeight="false" outlineLevel="0" collapsed="false">
      <c r="A25" s="1" t="n">
        <v>490</v>
      </c>
    </row>
    <row r="26" customFormat="false" ht="12.75" hidden="false" customHeight="false" outlineLevel="0" collapsed="false">
      <c r="A26" s="1" t="n">
        <v>585</v>
      </c>
    </row>
    <row r="27" customFormat="false" ht="12.75" hidden="false" customHeight="false" outlineLevel="0" collapsed="false">
      <c r="A27" s="1" t="n">
        <v>690</v>
      </c>
    </row>
    <row r="28" customFormat="false" ht="12.75" hidden="false" customHeight="false" outlineLevel="0" collapsed="false">
      <c r="A28" s="1" t="n">
        <v>725</v>
      </c>
    </row>
    <row r="29" customFormat="false" ht="12.75" hidden="false" customHeight="false" outlineLevel="0" collapsed="false">
      <c r="A29" s="1" t="n">
        <v>855</v>
      </c>
    </row>
    <row r="30" customFormat="false" ht="12.75" hidden="false" customHeight="false" outlineLevel="0" collapsed="false">
      <c r="A30" s="1" t="n">
        <v>0</v>
      </c>
    </row>
    <row r="31" customFormat="false" ht="12.75" hidden="false" customHeight="false" outlineLevel="0" collapsed="false">
      <c r="A31" s="1" t="n">
        <v>1000</v>
      </c>
    </row>
    <row r="32" customFormat="false" ht="12.75" hidden="false" customHeight="false" outlineLevel="0" collapsed="false">
      <c r="A32" s="1" t="n">
        <v>100</v>
      </c>
    </row>
    <row r="33" customFormat="false" ht="12.75" hidden="false" customHeight="false" outlineLevel="0" collapsed="false">
      <c r="A33" s="1" t="n">
        <v>200</v>
      </c>
    </row>
    <row r="34" customFormat="false" ht="12.75" hidden="false" customHeight="false" outlineLevel="0" collapsed="false">
      <c r="A34" s="1" t="n">
        <v>700</v>
      </c>
    </row>
    <row r="35" customFormat="false" ht="12.75" hidden="false" customHeight="false" outlineLevel="0" collapsed="false">
      <c r="A35" s="1" t="n">
        <v>100</v>
      </c>
    </row>
    <row r="36" customFormat="false" ht="12.75" hidden="false" customHeight="false" outlineLevel="0" collapsed="false">
      <c r="A36" s="1" t="n">
        <v>150</v>
      </c>
    </row>
    <row r="37" customFormat="false" ht="12.75" hidden="false" customHeight="false" outlineLevel="0" collapsed="false">
      <c r="A37" s="1" t="n">
        <v>375</v>
      </c>
    </row>
    <row r="38" customFormat="false" ht="12.75" hidden="false" customHeight="false" outlineLevel="0" collapsed="false">
      <c r="A38" s="1" t="n">
        <v>75</v>
      </c>
    </row>
    <row r="39" customFormat="false" ht="12.75" hidden="false" customHeight="false" outlineLevel="0" collapsed="false">
      <c r="A39" s="1" t="n">
        <v>100</v>
      </c>
    </row>
    <row r="40" customFormat="false" ht="12.75" hidden="false" customHeight="false" outlineLevel="0" collapsed="false">
      <c r="A40" s="1" t="n">
        <v>0</v>
      </c>
    </row>
    <row r="41" customFormat="false" ht="12.75" hidden="false" customHeight="false" outlineLevel="0" collapsed="false">
      <c r="A41" s="1" t="n">
        <v>0</v>
      </c>
    </row>
    <row r="42" customFormat="false" ht="12.75" hidden="false" customHeight="false" outlineLevel="0" collapsed="false">
      <c r="A42" s="1" t="n">
        <v>1</v>
      </c>
    </row>
    <row r="43" customFormat="false" ht="12.75" hidden="false" customHeight="false" outlineLevel="0" collapsed="false">
      <c r="A43" s="1" t="n">
        <v>0</v>
      </c>
    </row>
    <row r="44" customFormat="false" ht="12.75" hidden="false" customHeight="false" outlineLevel="0" collapsed="false">
      <c r="A44" s="1" t="n">
        <v>25</v>
      </c>
    </row>
    <row r="45" customFormat="false" ht="12.75" hidden="false" customHeight="false" outlineLevel="0" collapsed="false">
      <c r="A45" s="1" t="n">
        <v>15</v>
      </c>
    </row>
    <row r="46" customFormat="false" ht="12.75" hidden="false" customHeight="false" outlineLevel="0" collapsed="false">
      <c r="A46" s="1" t="n">
        <v>15</v>
      </c>
    </row>
    <row r="47" customFormat="false" ht="12.75" hidden="false" customHeight="false" outlineLevel="0" collapsed="false">
      <c r="A47" s="1" t="n">
        <v>115</v>
      </c>
    </row>
    <row r="48" customFormat="false" ht="12.75" hidden="false" customHeight="false" outlineLevel="0" collapsed="false">
      <c r="A48" s="1" t="n">
        <v>165</v>
      </c>
    </row>
    <row r="49" customFormat="false" ht="12.75" hidden="false" customHeight="false" outlineLevel="0" collapsed="false">
      <c r="A49" s="1" t="n">
        <v>325</v>
      </c>
    </row>
    <row r="50" customFormat="false" ht="12.75" hidden="false" customHeight="false" outlineLevel="0" collapsed="false">
      <c r="A50" s="1" t="n">
        <v>0</v>
      </c>
    </row>
    <row r="51" customFormat="false" ht="12.75" hidden="false" customHeight="false" outlineLevel="0" collapsed="false">
      <c r="A51" s="1" t="n">
        <v>0</v>
      </c>
    </row>
    <row r="52" customFormat="false" ht="12.75" hidden="false" customHeight="false" outlineLevel="0" collapsed="false">
      <c r="A52" s="1" t="n">
        <v>0</v>
      </c>
    </row>
    <row r="53" customFormat="false" ht="12.75" hidden="false" customHeight="false" outlineLevel="0" collapsed="false">
      <c r="A53" s="1" t="n">
        <v>0</v>
      </c>
    </row>
    <row r="54" customFormat="false" ht="12.75" hidden="false" customHeight="false" outlineLevel="0" collapsed="false">
      <c r="A54" s="1" t="n">
        <v>0</v>
      </c>
    </row>
    <row r="55" customFormat="false" ht="12.75" hidden="false" customHeight="false" outlineLevel="0" collapsed="false">
      <c r="A55" s="1" t="n">
        <v>0</v>
      </c>
    </row>
    <row r="56" customFormat="false" ht="12.75" hidden="false" customHeight="false" outlineLevel="0" collapsed="false">
      <c r="A56" s="1" t="n">
        <v>0</v>
      </c>
    </row>
    <row r="57" customFormat="false" ht="12.75" hidden="false" customHeight="false" outlineLevel="0" collapsed="false">
      <c r="A57" s="1" t="n">
        <v>5</v>
      </c>
    </row>
    <row r="58" customFormat="false" ht="12.75" hidden="false" customHeight="false" outlineLevel="0" collapsed="false">
      <c r="A58" s="1" t="n">
        <v>0</v>
      </c>
    </row>
    <row r="59" customFormat="false" ht="12.75" hidden="false" customHeight="false" outlineLevel="0" collapsed="false">
      <c r="A59" s="1" t="n">
        <v>0</v>
      </c>
    </row>
    <row r="60" customFormat="false" ht="12.75" hidden="false" customHeight="false" outlineLevel="0" collapsed="false">
      <c r="A60" s="1" t="n">
        <v>0</v>
      </c>
    </row>
    <row r="61" customFormat="false" ht="12.75" hidden="false" customHeight="false" outlineLevel="0" collapsed="false">
      <c r="A61" s="1" t="n">
        <v>3</v>
      </c>
    </row>
    <row r="62" customFormat="false" ht="12.75" hidden="false" customHeight="false" outlineLevel="0" collapsed="false">
      <c r="A62" s="1" t="n">
        <v>10</v>
      </c>
    </row>
    <row r="63" customFormat="false" ht="12.75" hidden="false" customHeight="false" outlineLevel="0" collapsed="false">
      <c r="A63" s="1" t="n">
        <v>8</v>
      </c>
    </row>
    <row r="64" customFormat="false" ht="12.75" hidden="false" customHeight="false" outlineLevel="0" collapsed="false">
      <c r="A64" s="1" t="n">
        <v>1</v>
      </c>
    </row>
    <row r="65" customFormat="false" ht="12.75" hidden="false" customHeight="false" outlineLevel="0" collapsed="false">
      <c r="A65" s="1" t="n">
        <v>8</v>
      </c>
    </row>
    <row r="66" customFormat="false" ht="12.75" hidden="false" customHeight="false" outlineLevel="0" collapsed="false">
      <c r="A66" s="1" t="n">
        <v>6</v>
      </c>
    </row>
    <row r="67" customFormat="false" ht="12.75" hidden="false" customHeight="false" outlineLevel="0" collapsed="false">
      <c r="A67" s="1" t="n">
        <v>0</v>
      </c>
    </row>
    <row r="68" customFormat="false" ht="12.75" hidden="false" customHeight="false" outlineLevel="0" collapsed="false">
      <c r="A68" s="1" t="n">
        <v>9</v>
      </c>
    </row>
    <row r="69" customFormat="false" ht="12.75" hidden="false" customHeight="false" outlineLevel="0" collapsed="false">
      <c r="A69" s="1" t="n">
        <v>5</v>
      </c>
    </row>
    <row r="70" customFormat="false" ht="12.75" hidden="false" customHeight="false" outlineLevel="0" collapsed="false">
      <c r="A70" s="1" t="n">
        <v>0</v>
      </c>
    </row>
    <row r="71" customFormat="false" ht="12.75" hidden="false" customHeight="false" outlineLevel="0" collapsed="false">
      <c r="A71" s="1" t="n">
        <v>0</v>
      </c>
    </row>
    <row r="72" customFormat="false" ht="12.75" hidden="false" customHeight="false" outlineLevel="0" collapsed="false">
      <c r="A72" s="1" t="n">
        <v>0</v>
      </c>
    </row>
    <row r="73" customFormat="false" ht="12.75" hidden="false" customHeight="false" outlineLevel="0" collapsed="false">
      <c r="A73" s="1" t="n">
        <v>0</v>
      </c>
    </row>
    <row r="74" customFormat="false" ht="12.75" hidden="false" customHeight="false" outlineLevel="0" collapsed="false">
      <c r="A74" s="1" t="n">
        <v>0</v>
      </c>
    </row>
    <row r="75" customFormat="false" ht="12.75" hidden="false" customHeight="false" outlineLevel="0" collapsed="false">
      <c r="A75" s="1" t="n">
        <v>20</v>
      </c>
    </row>
    <row r="76" customFormat="false" ht="12.75" hidden="false" customHeight="false" outlineLevel="0" collapsed="false">
      <c r="A76" s="1" t="n">
        <v>2</v>
      </c>
    </row>
    <row r="77" customFormat="false" ht="12.75" hidden="false" customHeight="false" outlineLevel="0" collapsed="false">
      <c r="A77" s="1" t="n">
        <v>5</v>
      </c>
    </row>
    <row r="78" customFormat="false" ht="12.75" hidden="false" customHeight="false" outlineLevel="0" collapsed="false">
      <c r="A78" s="1" t="n">
        <v>15</v>
      </c>
    </row>
    <row r="79" customFormat="false" ht="12.75" hidden="false" customHeight="false" outlineLevel="0" collapsed="false">
      <c r="A79" s="1" t="n">
        <v>0</v>
      </c>
    </row>
    <row r="80" customFormat="false" ht="12.75" hidden="false" customHeight="false" outlineLevel="0" collapsed="false">
      <c r="A80" s="1" t="n">
        <v>0</v>
      </c>
    </row>
    <row r="81" customFormat="false" ht="12.75" hidden="false" customHeight="false" outlineLevel="0" collapsed="false">
      <c r="A81" s="1" t="n">
        <v>4</v>
      </c>
    </row>
    <row r="82" customFormat="false" ht="12.75" hidden="false" customHeight="false" outlineLevel="0" collapsed="false">
      <c r="A82" s="1" t="n">
        <v>0</v>
      </c>
    </row>
    <row r="83" customFormat="false" ht="12.75" hidden="false" customHeight="false" outlineLevel="0" collapsed="false">
      <c r="A83" s="1" t="n">
        <v>1200</v>
      </c>
    </row>
    <row r="84" customFormat="false" ht="12.75" hidden="false" customHeight="false" outlineLevel="0" collapsed="false">
      <c r="A84" s="1" t="n">
        <v>0</v>
      </c>
    </row>
    <row r="85" customFormat="false" ht="12.75" hidden="false" customHeight="false" outlineLevel="0" collapsed="false">
      <c r="A85" s="1" t="n">
        <v>80</v>
      </c>
    </row>
    <row r="86" customFormat="false" ht="12.75" hidden="false" customHeight="false" outlineLevel="0" collapsed="false">
      <c r="A86" s="1" t="n">
        <v>0</v>
      </c>
    </row>
    <row r="87" customFormat="false" ht="12.75" hidden="false" customHeight="false" outlineLevel="0" collapsed="false">
      <c r="A87" s="1" t="n">
        <v>0</v>
      </c>
    </row>
    <row r="88" customFormat="false" ht="12.75" hidden="false" customHeight="false" outlineLevel="0" collapsed="false">
      <c r="A88" s="1" t="n">
        <v>0</v>
      </c>
    </row>
    <row r="89" customFormat="false" ht="12.75" hidden="false" customHeight="false" outlineLevel="0" collapsed="false">
      <c r="A89" s="1" t="n">
        <v>0</v>
      </c>
    </row>
    <row r="90" customFormat="false" ht="12.75" hidden="false" customHeight="false" outlineLevel="0" collapsed="false">
      <c r="A90" s="1" t="n">
        <v>0</v>
      </c>
    </row>
    <row r="91" customFormat="false" ht="12.75" hidden="false" customHeight="false" outlineLevel="0" collapsed="false">
      <c r="A91" s="1" t="n">
        <v>0</v>
      </c>
    </row>
    <row r="92" customFormat="false" ht="12.75" hidden="false" customHeight="false" outlineLevel="0" collapsed="false">
      <c r="A92" s="1" t="n">
        <v>0</v>
      </c>
      <c r="B92" s="1" t="s">
        <v>328</v>
      </c>
    </row>
    <row r="93" customFormat="false" ht="12.75" hidden="false" customHeight="false" outlineLevel="0" collapsed="false">
      <c r="A93" s="1" t="n">
        <v>0</v>
      </c>
    </row>
    <row r="94" customFormat="false" ht="12.75" hidden="false" customHeight="false" outlineLevel="0" collapsed="false">
      <c r="A94" s="1" t="n">
        <v>0</v>
      </c>
    </row>
    <row r="95" customFormat="false" ht="12.75" hidden="false" customHeight="false" outlineLevel="0" collapsed="false">
      <c r="A95" s="1" t="n">
        <v>0</v>
      </c>
    </row>
    <row r="96" customFormat="false" ht="12.75" hidden="false" customHeight="false" outlineLevel="0" collapsed="false">
      <c r="A96" s="1" t="n">
        <v>0</v>
      </c>
    </row>
    <row r="97" customFormat="false" ht="12.75" hidden="false" customHeight="false" outlineLevel="0" collapsed="false">
      <c r="A97" s="1" t="n">
        <v>0</v>
      </c>
    </row>
    <row r="98" customFormat="false" ht="12.75" hidden="false" customHeight="false" outlineLevel="0" collapsed="false">
      <c r="A98" s="1" t="n">
        <v>1</v>
      </c>
    </row>
    <row r="99" customFormat="false" ht="12.75" hidden="false" customHeight="false" outlineLevel="0" collapsed="false">
      <c r="A99" s="1" t="n">
        <v>1</v>
      </c>
    </row>
    <row r="100" customFormat="false" ht="12.75" hidden="false" customHeight="false" outlineLevel="0" collapsed="false">
      <c r="A100" s="1" t="n">
        <v>999</v>
      </c>
    </row>
    <row r="101" customFormat="false" ht="12.75" hidden="false" customHeight="false" outlineLevel="0" collapsed="false">
      <c r="A101" s="1" t="n">
        <v>999</v>
      </c>
    </row>
    <row r="102" customFormat="false" ht="12.75" hidden="false" customHeight="false" outlineLevel="0" collapsed="false">
      <c r="A102" s="1" t="n">
        <v>96</v>
      </c>
    </row>
    <row r="103" customFormat="false" ht="12.75" hidden="false" customHeight="false" outlineLevel="0" collapsed="false">
      <c r="A103" s="1" t="n">
        <v>112</v>
      </c>
    </row>
    <row r="104" customFormat="false" ht="12.75" hidden="false" customHeight="false" outlineLevel="0" collapsed="false">
      <c r="A104" s="1" t="n">
        <v>93</v>
      </c>
    </row>
    <row r="105" customFormat="false" ht="12.75" hidden="false" customHeight="false" outlineLevel="0" collapsed="false">
      <c r="A105" s="1" t="s">
        <v>329</v>
      </c>
    </row>
    <row r="106" customFormat="false" ht="12.75" hidden="false" customHeight="false" outlineLevel="0" collapsed="false">
      <c r="A106" s="1" t="s">
        <v>330</v>
      </c>
    </row>
    <row r="107" customFormat="false" ht="12.75" hidden="false" customHeight="false" outlineLevel="0" collapsed="false">
      <c r="A107" s="1" t="s">
        <v>331</v>
      </c>
    </row>
    <row r="108" customFormat="false" ht="12.75" hidden="false" customHeight="false" outlineLevel="0" collapsed="false">
      <c r="A108" s="1" t="n">
        <v>1300</v>
      </c>
    </row>
    <row r="109" customFormat="false" ht="12.75" hidden="false" customHeight="false" outlineLevel="0" collapsed="false">
      <c r="A109" s="1" t="n">
        <v>950</v>
      </c>
    </row>
    <row r="110" customFormat="false" ht="12.75" hidden="false" customHeight="false" outlineLevel="0" collapsed="false">
      <c r="A110" s="1" t="n">
        <v>550</v>
      </c>
    </row>
    <row r="111" customFormat="false" ht="12.75" hidden="false" customHeight="false" outlineLevel="0" collapsed="false">
      <c r="A111" s="1" t="n">
        <v>1336</v>
      </c>
    </row>
    <row r="112" customFormat="false" ht="12.75" hidden="false" customHeight="false" outlineLevel="0" collapsed="false">
      <c r="A112" s="1" t="n">
        <v>978</v>
      </c>
    </row>
    <row r="113" customFormat="false" ht="12.75" hidden="false" customHeight="false" outlineLevel="0" collapsed="false">
      <c r="A113" s="1" t="n">
        <v>566</v>
      </c>
    </row>
    <row r="114" customFormat="false" ht="12.75" hidden="false" customHeight="false" outlineLevel="0" collapsed="false">
      <c r="A114" s="1" t="n">
        <v>36</v>
      </c>
    </row>
    <row r="115" customFormat="false" ht="12.75" hidden="false" customHeight="false" outlineLevel="0" collapsed="false">
      <c r="A115" s="1" t="n">
        <v>28</v>
      </c>
    </row>
    <row r="116" customFormat="false" ht="12.75" hidden="false" customHeight="false" outlineLevel="0" collapsed="false">
      <c r="A116" s="1" t="n">
        <v>16</v>
      </c>
    </row>
    <row r="117" customFormat="false" ht="12.75" hidden="false" customHeight="false" outlineLevel="0" collapsed="false">
      <c r="A117" s="1" t="n">
        <v>0</v>
      </c>
    </row>
    <row r="118" customFormat="false" ht="12.75" hidden="false" customHeight="false" outlineLevel="0" collapsed="false">
      <c r="A118" s="1" t="n">
        <v>0</v>
      </c>
    </row>
    <row r="119" customFormat="false" ht="12.75" hidden="false" customHeight="false" outlineLevel="0" collapsed="false">
      <c r="A119" s="1" t="n">
        <v>0</v>
      </c>
    </row>
    <row r="120" customFormat="false" ht="12.75" hidden="false" customHeight="false" outlineLevel="0" collapsed="false">
      <c r="A120" s="1" t="n">
        <v>999</v>
      </c>
    </row>
    <row r="121" customFormat="false" ht="12.75" hidden="false" customHeight="false" outlineLevel="0" collapsed="false">
      <c r="A121" s="1" t="n">
        <v>1000</v>
      </c>
    </row>
    <row r="122" customFormat="false" ht="12.75" hidden="false" customHeight="false" outlineLevel="0" collapsed="false">
      <c r="A122" s="1" t="n">
        <v>100</v>
      </c>
    </row>
    <row r="123" customFormat="false" ht="12.75" hidden="false" customHeight="false" outlineLevel="0" collapsed="false">
      <c r="A123" s="1" t="n">
        <v>200</v>
      </c>
    </row>
    <row r="124" customFormat="false" ht="12.75" hidden="false" customHeight="false" outlineLevel="0" collapsed="false">
      <c r="A124" s="1" t="n">
        <v>700</v>
      </c>
    </row>
    <row r="125" customFormat="false" ht="12.75" hidden="false" customHeight="false" outlineLevel="0" collapsed="false">
      <c r="A125" s="1" t="n">
        <v>100</v>
      </c>
    </row>
    <row r="126" customFormat="false" ht="12.75" hidden="false" customHeight="false" outlineLevel="0" collapsed="false">
      <c r="A126" s="1" t="n">
        <v>150</v>
      </c>
    </row>
    <row r="127" customFormat="false" ht="12.75" hidden="false" customHeight="false" outlineLevel="0" collapsed="false">
      <c r="A127" s="1" t="n">
        <v>375</v>
      </c>
    </row>
    <row r="128" customFormat="false" ht="12.75" hidden="false" customHeight="false" outlineLevel="0" collapsed="false">
      <c r="A128" s="1" t="n">
        <v>75</v>
      </c>
    </row>
    <row r="129" customFormat="false" ht="12.75" hidden="false" customHeight="false" outlineLevel="0" collapsed="false">
      <c r="A129" s="1" t="n">
        <v>100</v>
      </c>
    </row>
    <row r="130" customFormat="false" ht="12.75" hidden="false" customHeight="false" outlineLevel="0" collapsed="false">
      <c r="A130" s="1" t="n">
        <v>999</v>
      </c>
    </row>
    <row r="131" customFormat="false" ht="12.75" hidden="false" customHeight="false" outlineLevel="0" collapsed="false">
      <c r="A131" s="1" t="n">
        <v>930</v>
      </c>
    </row>
    <row r="132" customFormat="false" ht="12.75" hidden="false" customHeight="false" outlineLevel="0" collapsed="false">
      <c r="A132" s="1" t="n">
        <v>100</v>
      </c>
    </row>
    <row r="133" customFormat="false" ht="12.75" hidden="false" customHeight="false" outlineLevel="0" collapsed="false">
      <c r="A133" s="1" t="n">
        <v>185</v>
      </c>
    </row>
    <row r="134" customFormat="false" ht="12.75" hidden="false" customHeight="false" outlineLevel="0" collapsed="false">
      <c r="A134" s="1" t="n">
        <v>668</v>
      </c>
    </row>
    <row r="135" customFormat="false" ht="12.75" hidden="false" customHeight="false" outlineLevel="0" collapsed="false">
      <c r="A135" s="1" t="n">
        <v>120</v>
      </c>
    </row>
    <row r="136" customFormat="false" ht="12.75" hidden="false" customHeight="false" outlineLevel="0" collapsed="false">
      <c r="A136" s="1" t="n">
        <v>143</v>
      </c>
    </row>
    <row r="137" customFormat="false" ht="12.75" hidden="false" customHeight="false" outlineLevel="0" collapsed="false">
      <c r="A137" s="1" t="n">
        <v>379</v>
      </c>
    </row>
    <row r="138" customFormat="false" ht="12.75" hidden="false" customHeight="false" outlineLevel="0" collapsed="false">
      <c r="A138" s="1" t="n">
        <v>61</v>
      </c>
    </row>
    <row r="139" customFormat="false" ht="12.75" hidden="false" customHeight="false" outlineLevel="0" collapsed="false">
      <c r="A139" s="1" t="n">
        <v>75</v>
      </c>
    </row>
    <row r="140" customFormat="false" ht="12.75" hidden="false" customHeight="false" outlineLevel="0" collapsed="false">
      <c r="A140" s="1" t="n">
        <v>999</v>
      </c>
    </row>
    <row r="141" customFormat="false" ht="12.75" hidden="false" customHeight="false" outlineLevel="0" collapsed="false">
      <c r="A141" s="1" t="n">
        <v>971</v>
      </c>
    </row>
    <row r="142" customFormat="false" ht="12.75" hidden="false" customHeight="false" outlineLevel="0" collapsed="false">
      <c r="A142" s="1" t="n">
        <v>100</v>
      </c>
    </row>
    <row r="143" customFormat="false" ht="12.75" hidden="false" customHeight="false" outlineLevel="0" collapsed="false">
      <c r="A143" s="1" t="n">
        <v>185</v>
      </c>
    </row>
    <row r="144" customFormat="false" ht="12.75" hidden="false" customHeight="false" outlineLevel="0" collapsed="false">
      <c r="A144" s="1" t="n">
        <v>668</v>
      </c>
    </row>
    <row r="145" customFormat="false" ht="12.75" hidden="false" customHeight="false" outlineLevel="0" collapsed="false">
      <c r="A145" s="1" t="n">
        <v>100</v>
      </c>
    </row>
    <row r="146" customFormat="false" ht="12.75" hidden="false" customHeight="false" outlineLevel="0" collapsed="false">
      <c r="A146" s="1" t="n">
        <v>143</v>
      </c>
    </row>
    <row r="147" customFormat="false" ht="12.75" hidden="false" customHeight="false" outlineLevel="0" collapsed="false">
      <c r="A147" s="1" t="n">
        <v>379</v>
      </c>
    </row>
    <row r="148" customFormat="false" ht="12.75" hidden="false" customHeight="false" outlineLevel="0" collapsed="false">
      <c r="A148" s="1" t="n">
        <v>63</v>
      </c>
    </row>
    <row r="149" customFormat="false" ht="12.75" hidden="false" customHeight="false" outlineLevel="0" collapsed="false">
      <c r="A149" s="1" t="n">
        <v>75</v>
      </c>
    </row>
    <row r="150" customFormat="false" ht="12.75" hidden="false" customHeight="false" outlineLevel="0" collapsed="false">
      <c r="A150" s="1" t="n">
        <v>999</v>
      </c>
    </row>
    <row r="151" customFormat="false" ht="12.75" hidden="false" customHeight="false" outlineLevel="0" collapsed="false">
      <c r="A151" s="1" t="n">
        <v>0</v>
      </c>
    </row>
    <row r="152" customFormat="false" ht="12.75" hidden="false" customHeight="false" outlineLevel="0" collapsed="false">
      <c r="A152" s="1" t="n">
        <v>3</v>
      </c>
    </row>
    <row r="153" customFormat="false" ht="12.75" hidden="false" customHeight="false" outlineLevel="0" collapsed="false">
      <c r="A153" s="1" t="n">
        <v>0</v>
      </c>
    </row>
    <row r="154" customFormat="false" ht="12.75" hidden="false" customHeight="false" outlineLevel="0" collapsed="false">
      <c r="A154" s="1" t="n">
        <v>0</v>
      </c>
    </row>
    <row r="155" customFormat="false" ht="12.75" hidden="false" customHeight="false" outlineLevel="0" collapsed="false">
      <c r="A155" s="1" t="n">
        <v>10</v>
      </c>
    </row>
    <row r="156" customFormat="false" ht="12.75" hidden="false" customHeight="false" outlineLevel="0" collapsed="false">
      <c r="A156" s="1" t="n">
        <v>0</v>
      </c>
    </row>
    <row r="157" customFormat="false" ht="12.75" hidden="false" customHeight="false" outlineLevel="0" collapsed="false">
      <c r="A157" s="1" t="n">
        <v>0</v>
      </c>
    </row>
    <row r="158" customFormat="false" ht="12.75" hidden="false" customHeight="false" outlineLevel="0" collapsed="false">
      <c r="A158" s="1" t="n">
        <v>0</v>
      </c>
    </row>
    <row r="159" customFormat="false" ht="12.75" hidden="false" customHeight="false" outlineLevel="0" collapsed="false">
      <c r="A159" s="1" t="n">
        <v>0</v>
      </c>
    </row>
    <row r="160" customFormat="false" ht="12.75" hidden="false" customHeight="false" outlineLevel="0" collapsed="false">
      <c r="A160" s="1" t="n">
        <v>999</v>
      </c>
    </row>
    <row r="161" customFormat="false" ht="12.75" hidden="false" customHeight="false" outlineLevel="0" collapsed="false">
      <c r="A161" s="1" t="n">
        <v>29</v>
      </c>
    </row>
    <row r="162" customFormat="false" ht="12.75" hidden="false" customHeight="false" outlineLevel="0" collapsed="false">
      <c r="A162" s="1" t="n">
        <v>0</v>
      </c>
    </row>
    <row r="163" customFormat="false" ht="12.75" hidden="false" customHeight="false" outlineLevel="0" collapsed="false">
      <c r="A163" s="1" t="n">
        <v>15</v>
      </c>
    </row>
    <row r="164" customFormat="false" ht="12.75" hidden="false" customHeight="false" outlineLevel="0" collapsed="false">
      <c r="A164" s="1" t="n">
        <v>32</v>
      </c>
    </row>
    <row r="165" customFormat="false" ht="12.75" hidden="false" customHeight="false" outlineLevel="0" collapsed="false">
      <c r="A165" s="1" t="n">
        <v>0</v>
      </c>
    </row>
    <row r="166" customFormat="false" ht="12.75" hidden="false" customHeight="false" outlineLevel="0" collapsed="false">
      <c r="A166" s="1" t="n">
        <v>7</v>
      </c>
    </row>
    <row r="167" customFormat="false" ht="12.75" hidden="false" customHeight="false" outlineLevel="0" collapsed="false">
      <c r="A167" s="1" t="n">
        <v>202</v>
      </c>
    </row>
    <row r="168" customFormat="false" ht="12.75" hidden="false" customHeight="false" outlineLevel="0" collapsed="false">
      <c r="A168" s="1" t="n">
        <v>12</v>
      </c>
    </row>
    <row r="169" customFormat="false" ht="12.75" hidden="false" customHeight="false" outlineLevel="0" collapsed="false">
      <c r="A169" s="1" t="n">
        <v>25</v>
      </c>
    </row>
    <row r="170" customFormat="false" ht="12.75" hidden="false" customHeight="false" outlineLevel="0" collapsed="false">
      <c r="A170" s="1" t="n">
        <v>999</v>
      </c>
    </row>
    <row r="171" customFormat="false" ht="12.75" hidden="false" customHeight="false" outlineLevel="0" collapsed="false">
      <c r="A171" s="1" t="n">
        <v>76</v>
      </c>
      <c r="B171" s="1" t="s">
        <v>332</v>
      </c>
    </row>
    <row r="172" customFormat="false" ht="12.75" hidden="false" customHeight="false" outlineLevel="0" collapsed="false">
      <c r="A172" s="1" t="n">
        <v>19</v>
      </c>
    </row>
    <row r="173" customFormat="false" ht="12.75" hidden="false" customHeight="false" outlineLevel="0" collapsed="false">
      <c r="A173" s="1" t="n">
        <v>12</v>
      </c>
    </row>
    <row r="174" customFormat="false" ht="12.75" hidden="false" customHeight="false" outlineLevel="0" collapsed="false">
      <c r="A174" s="1" t="n">
        <v>999</v>
      </c>
    </row>
    <row r="175" customFormat="false" ht="12.75" hidden="false" customHeight="false" outlineLevel="0" collapsed="false">
      <c r="A175" s="1" t="n">
        <v>999</v>
      </c>
    </row>
    <row r="176" customFormat="false" ht="12.75" hidden="false" customHeight="false" outlineLevel="0" collapsed="false">
      <c r="A176" s="1" t="n">
        <v>999</v>
      </c>
    </row>
    <row r="177" customFormat="false" ht="12.75" hidden="false" customHeight="false" outlineLevel="0" collapsed="false">
      <c r="A177" s="1" t="s">
        <v>333</v>
      </c>
    </row>
    <row r="178" customFormat="false" ht="12.75" hidden="false" customHeight="false" outlineLevel="0" collapsed="false">
      <c r="A178" s="1" t="s">
        <v>334</v>
      </c>
    </row>
    <row r="179" customFormat="false" ht="12.75" hidden="false" customHeight="false" outlineLevel="0" collapsed="false">
      <c r="A179" s="1" t="s">
        <v>334</v>
      </c>
    </row>
    <row r="180" customFormat="false" ht="12.75" hidden="false" customHeight="false" outlineLevel="0" collapsed="false">
      <c r="A180" s="1" t="n">
        <v>999</v>
      </c>
    </row>
    <row r="181" customFormat="false" ht="12.75" hidden="false" customHeight="false" outlineLevel="0" collapsed="false">
      <c r="A181" s="1" t="n">
        <v>0</v>
      </c>
    </row>
    <row r="182" customFormat="false" ht="12.75" hidden="false" customHeight="false" outlineLevel="0" collapsed="false">
      <c r="A182" s="1" t="n">
        <v>0</v>
      </c>
    </row>
    <row r="183" customFormat="false" ht="12.75" hidden="false" customHeight="false" outlineLevel="0" collapsed="false">
      <c r="A183" s="1" t="n">
        <v>0</v>
      </c>
    </row>
    <row r="184" customFormat="false" ht="12.75" hidden="false" customHeight="false" outlineLevel="0" collapsed="false">
      <c r="A184" s="1" t="n">
        <v>0</v>
      </c>
    </row>
    <row r="185" customFormat="false" ht="12.75" hidden="false" customHeight="false" outlineLevel="0" collapsed="false">
      <c r="A185" s="1" t="n">
        <v>0</v>
      </c>
    </row>
    <row r="186" customFormat="false" ht="12.75" hidden="false" customHeight="false" outlineLevel="0" collapsed="false">
      <c r="A186" s="1" t="n">
        <v>0</v>
      </c>
    </row>
    <row r="187" customFormat="false" ht="12.75" hidden="false" customHeight="false" outlineLevel="0" collapsed="false">
      <c r="A187" s="1" t="n">
        <v>0</v>
      </c>
    </row>
    <row r="188" customFormat="false" ht="12.75" hidden="false" customHeight="false" outlineLevel="0" collapsed="false">
      <c r="A188" s="1" t="n">
        <v>0</v>
      </c>
    </row>
    <row r="189" customFormat="false" ht="12.75" hidden="false" customHeight="false" outlineLevel="0" collapsed="false">
      <c r="A189" s="1" t="n">
        <v>0</v>
      </c>
    </row>
    <row r="190" customFormat="false" ht="12.75" hidden="false" customHeight="false" outlineLevel="0" collapsed="false">
      <c r="A190" s="1" t="n">
        <v>999</v>
      </c>
    </row>
    <row r="191" customFormat="false" ht="12.75" hidden="false" customHeight="false" outlineLevel="0" collapsed="false">
      <c r="A191" s="1" t="n">
        <v>17</v>
      </c>
    </row>
    <row r="192" customFormat="false" ht="12.75" hidden="false" customHeight="false" outlineLevel="0" collapsed="false">
      <c r="A192" s="1" t="n">
        <v>31</v>
      </c>
    </row>
    <row r="193" customFormat="false" ht="12.75" hidden="false" customHeight="false" outlineLevel="0" collapsed="false">
      <c r="A193" s="1" t="n">
        <v>4</v>
      </c>
    </row>
    <row r="194" customFormat="false" ht="12.75" hidden="false" customHeight="false" outlineLevel="0" collapsed="false">
      <c r="A194" s="1" t="n">
        <v>1</v>
      </c>
    </row>
    <row r="195" customFormat="false" ht="12.75" hidden="false" customHeight="false" outlineLevel="0" collapsed="false">
      <c r="A195" s="1" t="n">
        <v>0</v>
      </c>
    </row>
    <row r="196" customFormat="false" ht="12.75" hidden="false" customHeight="false" outlineLevel="0" collapsed="false">
      <c r="A196" s="1" t="n">
        <v>0</v>
      </c>
    </row>
    <row r="197" customFormat="false" ht="12.75" hidden="false" customHeight="false" outlineLevel="0" collapsed="false">
      <c r="A197" s="1" t="n">
        <v>21</v>
      </c>
    </row>
    <row r="198" customFormat="false" ht="12.75" hidden="false" customHeight="false" outlineLevel="0" collapsed="false">
      <c r="A198" s="1" t="n">
        <v>27</v>
      </c>
    </row>
    <row r="199" customFormat="false" ht="12.75" hidden="false" customHeight="false" outlineLevel="0" collapsed="false">
      <c r="A199" s="1" t="n">
        <v>999</v>
      </c>
    </row>
    <row r="200" customFormat="false" ht="12.75" hidden="false" customHeight="false" outlineLevel="0" collapsed="false">
      <c r="A200" s="1" t="n">
        <v>999</v>
      </c>
    </row>
    <row r="201" customFormat="false" ht="12.75" hidden="false" customHeight="false" outlineLevel="0" collapsed="false">
      <c r="A201" s="1" t="n">
        <v>90000</v>
      </c>
    </row>
    <row r="202" customFormat="false" ht="12.75" hidden="false" customHeight="false" outlineLevel="0" collapsed="false">
      <c r="A202" s="1" t="n">
        <v>19856</v>
      </c>
    </row>
    <row r="203" customFormat="false" ht="12.75" hidden="false" customHeight="false" outlineLevel="0" collapsed="false">
      <c r="A203" s="1" t="n">
        <v>11513</v>
      </c>
    </row>
    <row r="204" customFormat="false" ht="12.75" hidden="false" customHeight="false" outlineLevel="0" collapsed="false">
      <c r="A204" s="1" t="n">
        <v>116975</v>
      </c>
    </row>
    <row r="205" customFormat="false" ht="12.75" hidden="false" customHeight="false" outlineLevel="0" collapsed="false">
      <c r="A205" s="1" t="n">
        <v>12676</v>
      </c>
    </row>
    <row r="206" customFormat="false" ht="12.75" hidden="false" customHeight="false" outlineLevel="0" collapsed="false">
      <c r="A206" s="1" t="n">
        <v>9675</v>
      </c>
    </row>
    <row r="207" customFormat="false" ht="12.75" hidden="false" customHeight="false" outlineLevel="0" collapsed="false">
      <c r="A207" s="1" t="n">
        <v>55000</v>
      </c>
    </row>
    <row r="208" customFormat="false" ht="12.75" hidden="false" customHeight="false" outlineLevel="0" collapsed="false">
      <c r="A208" s="1" t="n">
        <v>15000</v>
      </c>
    </row>
    <row r="209" customFormat="false" ht="12.75" hidden="false" customHeight="false" outlineLevel="0" collapsed="false">
      <c r="A209" s="1" t="n">
        <v>9000</v>
      </c>
    </row>
    <row r="210" customFormat="false" ht="12.75" hidden="false" customHeight="false" outlineLevel="0" collapsed="false">
      <c r="A210" s="1" t="n">
        <v>6800</v>
      </c>
    </row>
    <row r="211" customFormat="false" ht="12.75" hidden="false" customHeight="false" outlineLevel="0" collapsed="false">
      <c r="A211" s="1" t="n">
        <v>8531</v>
      </c>
    </row>
    <row r="212" customFormat="false" ht="12.75" hidden="false" customHeight="false" outlineLevel="0" collapsed="false">
      <c r="A212" s="1" t="n">
        <v>7500</v>
      </c>
    </row>
    <row r="213" customFormat="false" ht="12.75" hidden="false" customHeight="false" outlineLevel="0" collapsed="false">
      <c r="A213" s="1" t="n">
        <v>2684</v>
      </c>
    </row>
    <row r="214" customFormat="false" ht="12.75" hidden="false" customHeight="false" outlineLevel="0" collapsed="false">
      <c r="A214" s="1" t="n">
        <v>9186</v>
      </c>
    </row>
    <row r="215" customFormat="false" ht="12.75" hidden="false" customHeight="false" outlineLevel="0" collapsed="false">
      <c r="A215" s="1" t="n">
        <v>80000</v>
      </c>
    </row>
    <row r="216" customFormat="false" ht="12.75" hidden="false" customHeight="false" outlineLevel="0" collapsed="false">
      <c r="A216" s="1" t="n">
        <v>10846</v>
      </c>
    </row>
    <row r="217" customFormat="false" ht="12.75" hidden="false" customHeight="false" outlineLevel="0" collapsed="false">
      <c r="A217" s="1" t="n">
        <v>465242</v>
      </c>
    </row>
    <row r="218" customFormat="false" ht="12.75" hidden="false" customHeight="false" outlineLevel="0" collapsed="false">
      <c r="A218" s="1" t="n">
        <v>1311528</v>
      </c>
    </row>
    <row r="219" customFormat="false" ht="12.75" hidden="false" customHeight="false" outlineLevel="0" collapsed="false">
      <c r="A219" s="1" t="n">
        <v>2805</v>
      </c>
    </row>
    <row r="220" customFormat="false" ht="12.75" hidden="false" customHeight="false" outlineLevel="0" collapsed="false">
      <c r="A220" s="1" t="n">
        <v>1531</v>
      </c>
    </row>
    <row r="221" customFormat="false" ht="12.75" hidden="false" customHeight="false" outlineLevel="0" collapsed="false">
      <c r="A221" s="1" t="n">
        <v>1311528</v>
      </c>
    </row>
    <row r="222" customFormat="false" ht="12.75" hidden="false" customHeight="false" outlineLevel="0" collapsed="false">
      <c r="A222" s="1" t="n">
        <v>1274</v>
      </c>
    </row>
    <row r="223" customFormat="false" ht="12.75" hidden="false" customHeight="false" outlineLevel="0" collapsed="false">
      <c r="A223" s="1" t="n">
        <v>1035012</v>
      </c>
    </row>
    <row r="224" customFormat="false" ht="12.75" hidden="false" customHeight="false" outlineLevel="0" collapsed="false">
      <c r="A224" s="1" t="n">
        <v>0</v>
      </c>
    </row>
    <row r="225" customFormat="false" ht="12.75" hidden="false" customHeight="false" outlineLevel="0" collapsed="false">
      <c r="A225" s="1" t="n">
        <v>5750</v>
      </c>
    </row>
    <row r="226" customFormat="false" ht="12.75" hidden="false" customHeight="false" outlineLevel="0" collapsed="false">
      <c r="A226" s="1" t="n">
        <v>0</v>
      </c>
    </row>
    <row r="227" customFormat="false" ht="12.75" hidden="false" customHeight="false" outlineLevel="0" collapsed="false">
      <c r="A227" s="1" t="n">
        <v>0</v>
      </c>
    </row>
    <row r="228" customFormat="false" ht="12.75" hidden="false" customHeight="false" outlineLevel="0" collapsed="false">
      <c r="A228" s="1" t="n">
        <v>0</v>
      </c>
    </row>
    <row r="229" customFormat="false" ht="12.75" hidden="false" customHeight="false" outlineLevel="0" collapsed="false">
      <c r="A229" s="1" t="n">
        <v>0</v>
      </c>
    </row>
    <row r="230" customFormat="false" ht="12.75" hidden="false" customHeight="false" outlineLevel="0" collapsed="false">
      <c r="A230" s="1" t="n">
        <v>0</v>
      </c>
    </row>
    <row r="231" customFormat="false" ht="12.75" hidden="false" customHeight="false" outlineLevel="0" collapsed="false">
      <c r="A231" s="1" t="n">
        <v>0</v>
      </c>
    </row>
    <row r="232" customFormat="false" ht="12.75" hidden="false" customHeight="false" outlineLevel="0" collapsed="false">
      <c r="A232" s="1" t="n">
        <v>3606</v>
      </c>
    </row>
    <row r="233" customFormat="false" ht="12.75" hidden="false" customHeight="false" outlineLevel="0" collapsed="false">
      <c r="A233" s="1" t="n">
        <v>279934</v>
      </c>
    </row>
    <row r="234" customFormat="false" ht="12.75" hidden="false" customHeight="false" outlineLevel="0" collapsed="false">
      <c r="A234" s="1" t="n">
        <v>772079</v>
      </c>
    </row>
    <row r="235" customFormat="false" ht="12.75" hidden="false" customHeight="false" outlineLevel="0" collapsed="false">
      <c r="A235" s="1" t="n">
        <v>999</v>
      </c>
    </row>
    <row r="236" customFormat="false" ht="12.75" hidden="false" customHeight="false" outlineLevel="0" collapsed="false">
      <c r="A236" s="1" t="n">
        <v>999</v>
      </c>
    </row>
    <row r="237" customFormat="false" ht="12.75" hidden="false" customHeight="false" outlineLevel="0" collapsed="false">
      <c r="A237" s="1" t="n">
        <v>999</v>
      </c>
    </row>
    <row r="238" customFormat="false" ht="12.75" hidden="false" customHeight="false" outlineLevel="0" collapsed="false">
      <c r="A238" s="1" t="n">
        <v>639000</v>
      </c>
    </row>
    <row r="239" customFormat="false" ht="12.75" hidden="false" customHeight="false" outlineLevel="0" collapsed="false">
      <c r="A239" s="1" t="n">
        <v>1031000</v>
      </c>
    </row>
    <row r="240" customFormat="false" ht="12.75" hidden="false" customHeight="false" outlineLevel="0" collapsed="false">
      <c r="A240" s="1" t="n">
        <v>-93552</v>
      </c>
    </row>
    <row r="241" customFormat="false" ht="12.75" hidden="false" customHeight="false" outlineLevel="0" collapsed="false">
      <c r="A241" s="1" t="n">
        <v>1267611</v>
      </c>
    </row>
    <row r="242" customFormat="false" ht="12.75" hidden="false" customHeight="false" outlineLevel="0" collapsed="false">
      <c r="A242" s="1" t="n">
        <v>132744</v>
      </c>
    </row>
    <row r="243" customFormat="false" ht="12.75" hidden="false" customHeight="false" outlineLevel="0" collapsed="false">
      <c r="A243" s="1" t="n">
        <v>0</v>
      </c>
    </row>
    <row r="244" customFormat="false" ht="12.75" hidden="false" customHeight="false" outlineLevel="0" collapsed="false">
      <c r="A244" s="1" t="n">
        <v>227045</v>
      </c>
    </row>
    <row r="245" customFormat="false" ht="12.75" hidden="false" customHeight="false" outlineLevel="0" collapsed="false">
      <c r="A245" s="1" t="n">
        <v>72784</v>
      </c>
    </row>
    <row r="246" customFormat="false" ht="12.75" hidden="false" customHeight="false" outlineLevel="0" collapsed="false">
      <c r="A246" s="1" t="n">
        <v>179974</v>
      </c>
    </row>
    <row r="247" customFormat="false" ht="12.75" hidden="false" customHeight="false" outlineLevel="0" collapsed="false">
      <c r="A247" s="1" t="n">
        <v>106812</v>
      </c>
    </row>
    <row r="248" customFormat="false" ht="12.75" hidden="false" customHeight="false" outlineLevel="0" collapsed="false">
      <c r="A248" s="1" t="n">
        <v>2880</v>
      </c>
    </row>
    <row r="249" customFormat="false" ht="12.75" hidden="false" customHeight="false" outlineLevel="0" collapsed="false">
      <c r="A249" s="1" t="n">
        <v>40700</v>
      </c>
    </row>
    <row r="250" customFormat="false" ht="12.75" hidden="false" customHeight="false" outlineLevel="0" collapsed="false">
      <c r="A250" s="1" t="n">
        <v>136389</v>
      </c>
    </row>
    <row r="251" customFormat="false" ht="12.75" hidden="false" customHeight="false" outlineLevel="0" collapsed="false">
      <c r="A251" s="1" t="n">
        <v>626550</v>
      </c>
    </row>
    <row r="252" customFormat="false" ht="12.75" hidden="false" customHeight="false" outlineLevel="0" collapsed="false">
      <c r="A252" s="1" t="n">
        <v>641061</v>
      </c>
    </row>
    <row r="253" customFormat="false" ht="12.75" hidden="false" customHeight="false" outlineLevel="0" collapsed="false">
      <c r="A253" s="1" t="n">
        <v>0</v>
      </c>
    </row>
    <row r="254" customFormat="false" ht="12.75" hidden="false" customHeight="false" outlineLevel="0" collapsed="false">
      <c r="A254" s="1" t="n">
        <v>27458</v>
      </c>
    </row>
    <row r="255" customFormat="false" ht="12.75" hidden="false" customHeight="false" outlineLevel="0" collapsed="false">
      <c r="A255" s="1" t="n">
        <v>0</v>
      </c>
    </row>
    <row r="256" customFormat="false" ht="12.75" hidden="false" customHeight="false" outlineLevel="0" collapsed="false">
      <c r="A256" s="1" t="n">
        <v>151779</v>
      </c>
    </row>
    <row r="257" customFormat="false" ht="12.75" hidden="false" customHeight="false" outlineLevel="0" collapsed="false">
      <c r="A257" s="1" t="n">
        <v>58227</v>
      </c>
    </row>
    <row r="258" customFormat="false" ht="12.75" hidden="false" customHeight="false" outlineLevel="0" collapsed="false">
      <c r="A258" s="1" t="n">
        <v>999</v>
      </c>
    </row>
    <row r="259" customFormat="false" ht="12.75" hidden="false" customHeight="false" outlineLevel="0" collapsed="false">
      <c r="A259" s="1" t="n">
        <v>999</v>
      </c>
    </row>
    <row r="260" customFormat="false" ht="12.75" hidden="false" customHeight="false" outlineLevel="0" collapsed="false">
      <c r="A260" s="1" t="n">
        <v>-93552</v>
      </c>
    </row>
    <row r="261" customFormat="false" ht="12.75" hidden="false" customHeight="false" outlineLevel="0" collapsed="false">
      <c r="A261" s="1" t="n">
        <v>50000</v>
      </c>
    </row>
    <row r="262" customFormat="false" ht="12.75" hidden="false" customHeight="false" outlineLevel="0" collapsed="false">
      <c r="A262" s="1" t="n">
        <v>250000</v>
      </c>
    </row>
    <row r="263" customFormat="false" ht="12.75" hidden="false" customHeight="false" outlineLevel="0" collapsed="false">
      <c r="A263" s="1" t="n">
        <v>1070870</v>
      </c>
    </row>
    <row r="264" customFormat="false" ht="12.75" hidden="false" customHeight="false" outlineLevel="0" collapsed="false">
      <c r="A264" s="1" t="n">
        <v>0</v>
      </c>
    </row>
    <row r="265" customFormat="false" ht="12.75" hidden="false" customHeight="false" outlineLevel="0" collapsed="false">
      <c r="A265" s="1" t="n">
        <v>83141</v>
      </c>
    </row>
    <row r="266" customFormat="false" ht="12.75" hidden="false" customHeight="false" outlineLevel="0" collapsed="false">
      <c r="A266" s="1" t="n">
        <v>0</v>
      </c>
    </row>
    <row r="267" customFormat="false" ht="12.75" hidden="false" customHeight="false" outlineLevel="0" collapsed="false">
      <c r="A267" s="1" t="n">
        <v>53248</v>
      </c>
    </row>
    <row r="268" customFormat="false" ht="12.75" hidden="false" customHeight="false" outlineLevel="0" collapsed="false">
      <c r="A268" s="1" t="n">
        <v>783183</v>
      </c>
    </row>
    <row r="269" customFormat="false" ht="12.75" hidden="false" customHeight="false" outlineLevel="0" collapsed="false">
      <c r="A269" s="1" t="n">
        <v>1150000</v>
      </c>
    </row>
    <row r="270" customFormat="false" ht="12.75" hidden="false" customHeight="false" outlineLevel="0" collapsed="false">
      <c r="A270" s="1" t="n">
        <v>1150000</v>
      </c>
    </row>
    <row r="271" customFormat="false" ht="12.75" hidden="false" customHeight="false" outlineLevel="0" collapsed="false">
      <c r="A271" s="1" t="n">
        <v>0</v>
      </c>
    </row>
    <row r="272" customFormat="false" ht="12.75" hidden="false" customHeight="false" outlineLevel="0" collapsed="false">
      <c r="A272" s="1" t="n">
        <v>284228</v>
      </c>
    </row>
    <row r="273" customFormat="false" ht="12.75" hidden="false" customHeight="false" outlineLevel="0" collapsed="false">
      <c r="A273" s="1" t="n">
        <v>97987</v>
      </c>
    </row>
    <row r="274" customFormat="false" ht="12.75" hidden="false" customHeight="false" outlineLevel="0" collapsed="false">
      <c r="A274" s="1" t="n">
        <v>0</v>
      </c>
    </row>
    <row r="275" customFormat="false" ht="12.75" hidden="false" customHeight="false" outlineLevel="0" collapsed="false">
      <c r="A275" s="1" t="n">
        <v>3000000</v>
      </c>
    </row>
    <row r="276" customFormat="false" ht="12.75" hidden="false" customHeight="false" outlineLevel="0" collapsed="false">
      <c r="A276" s="1" t="n">
        <v>0</v>
      </c>
    </row>
    <row r="277" customFormat="false" ht="12.75" hidden="false" customHeight="false" outlineLevel="0" collapsed="false">
      <c r="A277" s="1" t="n">
        <v>3058227</v>
      </c>
    </row>
    <row r="278" customFormat="false" ht="12.75" hidden="false" customHeight="false" outlineLevel="0" collapsed="false">
      <c r="A278" s="1" t="n">
        <v>999</v>
      </c>
    </row>
    <row r="279" customFormat="false" ht="12.75" hidden="false" customHeight="false" outlineLevel="0" collapsed="false">
      <c r="A279" s="1" t="n">
        <v>999</v>
      </c>
    </row>
    <row r="280" customFormat="false" ht="12.75" hidden="false" customHeight="false" outlineLevel="0" collapsed="false">
      <c r="A280" s="1" t="n">
        <v>999</v>
      </c>
    </row>
    <row r="281" customFormat="false" ht="12.75" hidden="false" customHeight="false" outlineLevel="0" collapsed="false">
      <c r="A281" s="1" t="n">
        <v>1000</v>
      </c>
    </row>
    <row r="282" customFormat="false" ht="12.75" hidden="false" customHeight="false" outlineLevel="0" collapsed="false">
      <c r="A282" s="1" t="n">
        <v>999</v>
      </c>
    </row>
    <row r="283" customFormat="false" ht="12.75" hidden="false" customHeight="false" outlineLevel="0" collapsed="false">
      <c r="A283" s="1" t="n">
        <v>999</v>
      </c>
    </row>
    <row r="284" customFormat="false" ht="12.75" hidden="false" customHeight="false" outlineLevel="0" collapsed="false">
      <c r="A284" s="1" t="n">
        <v>500</v>
      </c>
    </row>
    <row r="285" customFormat="false" ht="12.75" hidden="false" customHeight="false" outlineLevel="0" collapsed="false">
      <c r="A285" s="1" t="n">
        <v>100</v>
      </c>
    </row>
    <row r="286" customFormat="false" ht="12.75" hidden="false" customHeight="false" outlineLevel="0" collapsed="false">
      <c r="A286" s="1" t="n">
        <v>210</v>
      </c>
    </row>
    <row r="287" customFormat="false" ht="12.75" hidden="false" customHeight="false" outlineLevel="0" collapsed="false">
      <c r="A287" s="1" t="n">
        <v>7</v>
      </c>
    </row>
    <row r="288" customFormat="false" ht="12.75" hidden="false" customHeight="false" outlineLevel="0" collapsed="false">
      <c r="A288" s="1" t="n">
        <v>999</v>
      </c>
    </row>
    <row r="289" customFormat="false" ht="12.75" hidden="false" customHeight="false" outlineLevel="0" collapsed="false">
      <c r="A289" s="1" t="n">
        <v>999</v>
      </c>
    </row>
    <row r="290" customFormat="false" ht="12.75" hidden="false" customHeight="false" outlineLevel="0" collapsed="false">
      <c r="A290" s="1" t="n">
        <v>999</v>
      </c>
    </row>
    <row r="291" customFormat="false" ht="12.75" hidden="false" customHeight="false" outlineLevel="0" collapsed="false">
      <c r="A291" s="1" t="n">
        <v>0</v>
      </c>
    </row>
    <row r="292" customFormat="false" ht="12.75" hidden="false" customHeight="false" outlineLevel="0" collapsed="false">
      <c r="A292" s="1" t="n">
        <v>4</v>
      </c>
    </row>
    <row r="293" customFormat="false" ht="12.75" hidden="false" customHeight="false" outlineLevel="0" collapsed="false">
      <c r="A293" s="1" t="n">
        <v>0</v>
      </c>
    </row>
    <row r="294" customFormat="false" ht="12.75" hidden="false" customHeight="false" outlineLevel="0" collapsed="false">
      <c r="A294" s="1" t="n">
        <v>4</v>
      </c>
    </row>
    <row r="295" customFormat="false" ht="12.75" hidden="false" customHeight="false" outlineLevel="0" collapsed="false">
      <c r="A295" s="1" t="n">
        <v>1381</v>
      </c>
    </row>
    <row r="296" customFormat="false" ht="12.75" hidden="false" customHeight="false" outlineLevel="0" collapsed="false">
      <c r="A296" s="1" t="n">
        <v>8</v>
      </c>
    </row>
    <row r="297" customFormat="false" ht="12.75" hidden="false" customHeight="false" outlineLevel="0" collapsed="false">
      <c r="A297" s="1" t="n">
        <v>500</v>
      </c>
    </row>
    <row r="298" customFormat="false" ht="12.75" hidden="false" customHeight="false" outlineLevel="0" collapsed="false">
      <c r="A298" s="1" t="n">
        <v>2</v>
      </c>
    </row>
    <row r="299" customFormat="false" ht="12.75" hidden="false" customHeight="false" outlineLevel="0" collapsed="false">
      <c r="A299" s="1" t="n">
        <v>300</v>
      </c>
    </row>
    <row r="300" customFormat="false" ht="12.75" hidden="false" customHeight="false" outlineLevel="0" collapsed="false">
      <c r="A300" s="1" t="n">
        <v>2</v>
      </c>
    </row>
    <row r="301" customFormat="false" ht="12.75" hidden="false" customHeight="false" outlineLevel="0" collapsed="false">
      <c r="A301" s="1" t="n">
        <v>4272</v>
      </c>
    </row>
    <row r="302" customFormat="false" ht="12.75" hidden="false" customHeight="false" outlineLevel="0" collapsed="false">
      <c r="A302" s="1" t="n">
        <v>54</v>
      </c>
    </row>
    <row r="303" customFormat="false" ht="12.75" hidden="false" customHeight="false" outlineLevel="0" collapsed="false">
      <c r="A303" s="1" t="n">
        <v>3873</v>
      </c>
    </row>
    <row r="304" customFormat="false" ht="12.75" hidden="false" customHeight="false" outlineLevel="0" collapsed="false">
      <c r="A304" s="1" t="s">
        <v>335</v>
      </c>
    </row>
    <row r="305" customFormat="false" ht="12.75" hidden="false" customHeight="false" outlineLevel="0" collapsed="false">
      <c r="A305" s="1" t="n">
        <v>9792</v>
      </c>
    </row>
    <row r="306" customFormat="false" ht="12.75" hidden="false" customHeight="false" outlineLevel="0" collapsed="false">
      <c r="A306" s="1" t="n">
        <v>208</v>
      </c>
      <c r="B306" s="1" t="s">
        <v>332</v>
      </c>
    </row>
    <row r="307" customFormat="false" ht="12.75" hidden="false" customHeight="false" outlineLevel="0" collapsed="false">
      <c r="A307" s="1" t="n">
        <v>8314</v>
      </c>
    </row>
    <row r="308" customFormat="false" ht="12.75" hidden="false" customHeight="false" outlineLevel="0" collapsed="false">
      <c r="A308" s="1" t="n">
        <v>0</v>
      </c>
    </row>
    <row r="309" customFormat="false" ht="12.75" hidden="false" customHeight="false" outlineLevel="0" collapsed="false">
      <c r="A309" s="1" t="n">
        <v>999</v>
      </c>
    </row>
    <row r="310" customFormat="false" ht="12.75" hidden="false" customHeight="false" outlineLevel="0" collapsed="false">
      <c r="A310" s="1" t="n">
        <v>999</v>
      </c>
    </row>
    <row r="311" customFormat="false" ht="12.75" hidden="false" customHeight="false" outlineLevel="0" collapsed="false">
      <c r="A311" s="1" t="n">
        <v>1458</v>
      </c>
    </row>
    <row r="312" customFormat="false" ht="12.75" hidden="false" customHeight="false" outlineLevel="0" collapsed="false">
      <c r="A312" s="1" t="n">
        <v>0</v>
      </c>
    </row>
    <row r="313" customFormat="false" ht="12.75" hidden="false" customHeight="false" outlineLevel="0" collapsed="false">
      <c r="A313" s="1" t="n">
        <v>0</v>
      </c>
    </row>
    <row r="314" customFormat="false" ht="12.75" hidden="false" customHeight="false" outlineLevel="0" collapsed="false">
      <c r="A314" s="1" t="n">
        <v>0</v>
      </c>
    </row>
    <row r="315" customFormat="false" ht="12.75" hidden="false" customHeight="false" outlineLevel="0" collapsed="false">
      <c r="A315" s="1" t="n">
        <v>4990</v>
      </c>
    </row>
    <row r="316" customFormat="false" ht="12.75" hidden="false" customHeight="false" outlineLevel="0" collapsed="false">
      <c r="A316" s="1" t="n">
        <v>1468</v>
      </c>
    </row>
    <row r="317" customFormat="false" ht="12.75" hidden="false" customHeight="false" outlineLevel="0" collapsed="false">
      <c r="A317" s="1" t="n">
        <v>0</v>
      </c>
    </row>
    <row r="318" customFormat="false" ht="12.75" hidden="false" customHeight="false" outlineLevel="0" collapsed="false">
      <c r="A318" s="1" t="n">
        <v>5</v>
      </c>
    </row>
    <row r="319" customFormat="false" ht="12.75" hidden="false" customHeight="false" outlineLevel="0" collapsed="false">
      <c r="A319" s="1" t="n">
        <v>6897</v>
      </c>
    </row>
    <row r="320" customFormat="false" ht="12.75" hidden="false" customHeight="false" outlineLevel="0" collapsed="false">
      <c r="A320" s="1" t="n">
        <v>999</v>
      </c>
    </row>
    <row r="321" customFormat="false" ht="12.75" hidden="false" customHeight="false" outlineLevel="0" collapsed="false">
      <c r="A321" s="1" t="n">
        <v>3</v>
      </c>
    </row>
    <row r="322" customFormat="false" ht="12.75" hidden="false" customHeight="false" outlineLevel="0" collapsed="false">
      <c r="A322" s="1" t="n">
        <v>1</v>
      </c>
    </row>
    <row r="323" customFormat="false" ht="12.75" hidden="false" customHeight="false" outlineLevel="0" collapsed="false">
      <c r="A323" s="1" t="n">
        <v>0</v>
      </c>
    </row>
    <row r="324" customFormat="false" ht="12.75" hidden="false" customHeight="false" outlineLevel="0" collapsed="false">
      <c r="A324" s="1" t="n">
        <v>0</v>
      </c>
    </row>
    <row r="325" customFormat="false" ht="12.75" hidden="false" customHeight="false" outlineLevel="0" collapsed="false">
      <c r="A325" s="1" t="n">
        <v>3</v>
      </c>
    </row>
    <row r="326" customFormat="false" ht="12.75" hidden="false" customHeight="false" outlineLevel="0" collapsed="false">
      <c r="A326" s="1" t="n">
        <v>1</v>
      </c>
    </row>
    <row r="327" customFormat="false" ht="12.75" hidden="false" customHeight="false" outlineLevel="0" collapsed="false">
      <c r="A327" s="1" t="n">
        <v>5</v>
      </c>
    </row>
    <row r="328" customFormat="false" ht="12.75" hidden="false" customHeight="false" outlineLevel="0" collapsed="false">
      <c r="A328" s="1" t="n">
        <v>5</v>
      </c>
    </row>
    <row r="329" customFormat="false" ht="12.75" hidden="false" customHeight="false" outlineLevel="0" collapsed="false">
      <c r="A329" s="1" t="n">
        <v>56</v>
      </c>
    </row>
    <row r="330" customFormat="false" ht="12.75" hidden="false" customHeight="false" outlineLevel="0" collapsed="false">
      <c r="A330" s="1" t="s">
        <v>336</v>
      </c>
    </row>
    <row r="331" customFormat="false" ht="12.75" hidden="false" customHeight="false" outlineLevel="0" collapsed="false">
      <c r="A331" s="1" t="s">
        <v>8</v>
      </c>
    </row>
    <row r="332" customFormat="false" ht="12.75" hidden="false" customHeight="false" outlineLevel="0" collapsed="false">
      <c r="A332" s="1" t="s">
        <v>8</v>
      </c>
    </row>
    <row r="333" customFormat="false" ht="12.75" hidden="false" customHeight="false" outlineLevel="0" collapsed="false">
      <c r="A333" s="1" t="s">
        <v>8</v>
      </c>
    </row>
    <row r="334" customFormat="false" ht="12.75" hidden="false" customHeight="false" outlineLevel="0" collapsed="false">
      <c r="A334" s="1" t="s">
        <v>8</v>
      </c>
    </row>
    <row r="335" customFormat="false" ht="12.75" hidden="false" customHeight="false" outlineLevel="0" collapsed="false">
      <c r="A335" s="1" t="s">
        <v>8</v>
      </c>
    </row>
    <row r="336" customFormat="false" ht="12.75" hidden="false" customHeight="false" outlineLevel="0" collapsed="false">
      <c r="A336" s="1" t="s">
        <v>8</v>
      </c>
    </row>
    <row r="337" customFormat="false" ht="12.75" hidden="false" customHeight="false" outlineLevel="0" collapsed="false">
      <c r="A337" s="1" t="s">
        <v>8</v>
      </c>
    </row>
    <row r="338" customFormat="false" ht="12.75" hidden="false" customHeight="false" outlineLevel="0" collapsed="false">
      <c r="A338" s="1" t="s">
        <v>8</v>
      </c>
    </row>
    <row r="339" customFormat="false" ht="12.75" hidden="false" customHeight="false" outlineLevel="0" collapsed="false">
      <c r="A339" s="1" t="s">
        <v>8</v>
      </c>
    </row>
    <row r="340" customFormat="false" ht="12.75" hidden="false" customHeight="false" outlineLevel="0" collapsed="false">
      <c r="A340" s="1" t="s">
        <v>8</v>
      </c>
    </row>
    <row r="341" customFormat="false" ht="12.75" hidden="false" customHeight="false" outlineLevel="0" collapsed="false">
      <c r="A341" s="1" t="s">
        <v>8</v>
      </c>
    </row>
    <row r="342" customFormat="false" ht="12.75" hidden="false" customHeight="false" outlineLevel="0" collapsed="false">
      <c r="A342" s="1" t="s">
        <v>8</v>
      </c>
    </row>
    <row r="343" customFormat="false" ht="12.75" hidden="false" customHeight="false" outlineLevel="0" collapsed="false">
      <c r="A343" s="1" t="s">
        <v>8</v>
      </c>
    </row>
    <row r="344" customFormat="false" ht="12.75" hidden="false" customHeight="false" outlineLevel="0" collapsed="false">
      <c r="A344" s="1" t="s">
        <v>8</v>
      </c>
    </row>
    <row r="345" customFormat="false" ht="12.75" hidden="false" customHeight="false" outlineLevel="0" collapsed="false">
      <c r="A345" s="1" t="s">
        <v>8</v>
      </c>
    </row>
    <row r="346" customFormat="false" ht="12.75" hidden="false" customHeight="false" outlineLevel="0" collapsed="false">
      <c r="A346" s="1" t="s">
        <v>8</v>
      </c>
    </row>
    <row r="347" customFormat="false" ht="12.75" hidden="false" customHeight="false" outlineLevel="0" collapsed="false">
      <c r="A347" s="1" t="s">
        <v>8</v>
      </c>
    </row>
    <row r="348" customFormat="false" ht="12.75" hidden="false" customHeight="false" outlineLevel="0" collapsed="false">
      <c r="A348" s="1" t="s">
        <v>8</v>
      </c>
    </row>
    <row r="349" customFormat="false" ht="12.75" hidden="false" customHeight="false" outlineLevel="0" collapsed="false">
      <c r="A349" s="1" t="s">
        <v>8</v>
      </c>
    </row>
    <row r="350" customFormat="false" ht="12.75" hidden="false" customHeight="false" outlineLevel="0" collapsed="false">
      <c r="A350" s="1" t="s">
        <v>8</v>
      </c>
    </row>
    <row r="351" customFormat="false" ht="12.75" hidden="false" customHeight="false" outlineLevel="0" collapsed="false">
      <c r="A351" s="1" t="s">
        <v>8</v>
      </c>
    </row>
    <row r="352" customFormat="false" ht="12.75" hidden="false" customHeight="false" outlineLevel="0" collapsed="false">
      <c r="A352" s="1" t="s">
        <v>8</v>
      </c>
    </row>
    <row r="353" customFormat="false" ht="12.75" hidden="false" customHeight="false" outlineLevel="0" collapsed="false">
      <c r="A353" s="1" t="s">
        <v>8</v>
      </c>
    </row>
    <row r="354" customFormat="false" ht="12.75" hidden="false" customHeight="false" outlineLevel="0" collapsed="false">
      <c r="A354" s="1" t="s">
        <v>8</v>
      </c>
    </row>
    <row r="355" customFormat="false" ht="12.75" hidden="false" customHeight="false" outlineLevel="0" collapsed="false">
      <c r="A355" s="1" t="s">
        <v>8</v>
      </c>
    </row>
    <row r="356" customFormat="false" ht="12.75" hidden="false" customHeight="false" outlineLevel="0" collapsed="false">
      <c r="A356" s="1" t="s">
        <v>8</v>
      </c>
    </row>
    <row r="357" customFormat="false" ht="12.75" hidden="false" customHeight="false" outlineLevel="0" collapsed="false">
      <c r="A357" s="1" t="s">
        <v>8</v>
      </c>
    </row>
    <row r="358" customFormat="false" ht="12.75" hidden="false" customHeight="false" outlineLevel="0" collapsed="false">
      <c r="A358" s="1" t="s">
        <v>8</v>
      </c>
    </row>
    <row r="359" customFormat="false" ht="12.75" hidden="false" customHeight="false" outlineLevel="0" collapsed="false">
      <c r="A359" s="1" t="s">
        <v>8</v>
      </c>
    </row>
    <row r="360" customFormat="false" ht="12.75" hidden="false" customHeight="false" outlineLevel="0" collapsed="false">
      <c r="A360" s="1" t="s">
        <v>8</v>
      </c>
    </row>
    <row r="361" customFormat="false" ht="12.75" hidden="false" customHeight="false" outlineLevel="0" collapsed="false">
      <c r="A361" s="1" t="s">
        <v>8</v>
      </c>
    </row>
    <row r="362" customFormat="false" ht="12.75" hidden="false" customHeight="false" outlineLevel="0" collapsed="false">
      <c r="A362" s="1" t="s">
        <v>8</v>
      </c>
    </row>
    <row r="363" customFormat="false" ht="12.75" hidden="false" customHeight="false" outlineLevel="0" collapsed="false">
      <c r="A363" s="1" t="s">
        <v>8</v>
      </c>
    </row>
    <row r="364" customFormat="false" ht="12.75" hidden="false" customHeight="false" outlineLevel="0" collapsed="false">
      <c r="A364" s="1" t="s">
        <v>8</v>
      </c>
    </row>
    <row r="365" customFormat="false" ht="12.75" hidden="false" customHeight="false" outlineLevel="0" collapsed="false">
      <c r="A365" s="1" t="s">
        <v>8</v>
      </c>
    </row>
    <row r="366" customFormat="false" ht="12.75" hidden="false" customHeight="false" outlineLevel="0" collapsed="false">
      <c r="A366" s="1" t="s">
        <v>8</v>
      </c>
    </row>
    <row r="367" customFormat="false" ht="12.75" hidden="false" customHeight="false" outlineLevel="0" collapsed="false">
      <c r="A367" s="1" t="s">
        <v>8</v>
      </c>
    </row>
    <row r="368" customFormat="false" ht="12.75" hidden="false" customHeight="false" outlineLevel="0" collapsed="false">
      <c r="A368" s="1" t="s">
        <v>8</v>
      </c>
    </row>
    <row r="369" customFormat="false" ht="12.75" hidden="false" customHeight="false" outlineLevel="0" collapsed="false">
      <c r="A369" s="1" t="s">
        <v>8</v>
      </c>
    </row>
    <row r="370" customFormat="false" ht="12.75" hidden="false" customHeight="false" outlineLevel="0" collapsed="false">
      <c r="A370" s="1" t="s">
        <v>8</v>
      </c>
    </row>
    <row r="371" customFormat="false" ht="12.75" hidden="false" customHeight="false" outlineLevel="0" collapsed="false">
      <c r="A371" s="1" t="s">
        <v>8</v>
      </c>
    </row>
    <row r="372" customFormat="false" ht="12.75" hidden="false" customHeight="false" outlineLevel="0" collapsed="false">
      <c r="A372" s="1" t="s">
        <v>8</v>
      </c>
    </row>
    <row r="373" customFormat="false" ht="12.75" hidden="false" customHeight="false" outlineLevel="0" collapsed="false">
      <c r="A373" s="1" t="s">
        <v>8</v>
      </c>
    </row>
    <row r="374" customFormat="false" ht="12.75" hidden="false" customHeight="false" outlineLevel="0" collapsed="false">
      <c r="A374" s="1" t="s">
        <v>8</v>
      </c>
    </row>
    <row r="375" customFormat="false" ht="12.75" hidden="false" customHeight="false" outlineLevel="0" collapsed="false">
      <c r="A375" s="1" t="s">
        <v>8</v>
      </c>
    </row>
    <row r="376" customFormat="false" ht="12.75" hidden="false" customHeight="false" outlineLevel="0" collapsed="false">
      <c r="A376" s="1" t="s">
        <v>8</v>
      </c>
    </row>
    <row r="377" customFormat="false" ht="12.75" hidden="false" customHeight="false" outlineLevel="0" collapsed="false">
      <c r="A377" s="1" t="s">
        <v>8</v>
      </c>
    </row>
    <row r="378" customFormat="false" ht="12.75" hidden="false" customHeight="false" outlineLevel="0" collapsed="false">
      <c r="A378" s="1" t="s">
        <v>8</v>
      </c>
    </row>
    <row r="379" customFormat="false" ht="12.75" hidden="false" customHeight="false" outlineLevel="0" collapsed="false">
      <c r="A379" s="1" t="s">
        <v>8</v>
      </c>
    </row>
    <row r="380" customFormat="false" ht="12.75" hidden="false" customHeight="false" outlineLevel="0" collapsed="false">
      <c r="A380" s="1" t="s">
        <v>8</v>
      </c>
    </row>
    <row r="381" customFormat="false" ht="12.75" hidden="false" customHeight="false" outlineLevel="0" collapsed="false">
      <c r="A381" s="1" t="s">
        <v>8</v>
      </c>
    </row>
    <row r="382" customFormat="false" ht="12.75" hidden="false" customHeight="false" outlineLevel="0" collapsed="false">
      <c r="A382" s="1" t="s">
        <v>8</v>
      </c>
    </row>
    <row r="383" customFormat="false" ht="12.75" hidden="false" customHeight="false" outlineLevel="0" collapsed="false">
      <c r="A383" s="1" t="s">
        <v>8</v>
      </c>
    </row>
    <row r="384" customFormat="false" ht="12.75" hidden="false" customHeight="false" outlineLevel="0" collapsed="false">
      <c r="A384" s="1" t="s">
        <v>8</v>
      </c>
    </row>
    <row r="385" customFormat="false" ht="12.75" hidden="false" customHeight="false" outlineLevel="0" collapsed="false">
      <c r="A385" s="1" t="s">
        <v>8</v>
      </c>
    </row>
    <row r="386" customFormat="false" ht="12.75" hidden="false" customHeight="false" outlineLevel="0" collapsed="false">
      <c r="A386" s="1" t="s">
        <v>8</v>
      </c>
    </row>
    <row r="387" customFormat="false" ht="12.75" hidden="false" customHeight="false" outlineLevel="0" collapsed="false">
      <c r="A387" s="1" t="s">
        <v>8</v>
      </c>
    </row>
    <row r="388" customFormat="false" ht="12.75" hidden="false" customHeight="false" outlineLevel="0" collapsed="false">
      <c r="A388" s="1" t="s">
        <v>8</v>
      </c>
    </row>
    <row r="389" customFormat="false" ht="12.75" hidden="false" customHeight="false" outlineLevel="0" collapsed="false">
      <c r="A389" s="1" t="s">
        <v>8</v>
      </c>
    </row>
    <row r="390" customFormat="false" ht="12.75" hidden="false" customHeight="false" outlineLevel="0" collapsed="false">
      <c r="A390" s="1" t="s">
        <v>8</v>
      </c>
    </row>
    <row r="391" customFormat="false" ht="12.75" hidden="false" customHeight="false" outlineLevel="0" collapsed="false">
      <c r="A391" s="1" t="s">
        <v>8</v>
      </c>
    </row>
    <row r="392" customFormat="false" ht="12.75" hidden="false" customHeight="false" outlineLevel="0" collapsed="false">
      <c r="A392" s="1" t="s">
        <v>8</v>
      </c>
    </row>
    <row r="393" customFormat="false" ht="12.75" hidden="false" customHeight="false" outlineLevel="0" collapsed="false">
      <c r="A393" s="1" t="s">
        <v>8</v>
      </c>
    </row>
    <row r="394" customFormat="false" ht="12.75" hidden="false" customHeight="false" outlineLevel="0" collapsed="false">
      <c r="A394" s="1" t="s">
        <v>8</v>
      </c>
    </row>
    <row r="395" customFormat="false" ht="12.75" hidden="false" customHeight="false" outlineLevel="0" collapsed="false">
      <c r="A395" s="1" t="s">
        <v>8</v>
      </c>
    </row>
    <row r="396" customFormat="false" ht="12.75" hidden="false" customHeight="false" outlineLevel="0" collapsed="false">
      <c r="A396" s="1" t="s">
        <v>8</v>
      </c>
    </row>
    <row r="397" customFormat="false" ht="12.75" hidden="false" customHeight="false" outlineLevel="0" collapsed="false">
      <c r="A397" s="1" t="s">
        <v>8</v>
      </c>
    </row>
    <row r="398" customFormat="false" ht="12.75" hidden="false" customHeight="false" outlineLevel="0" collapsed="false">
      <c r="A398" s="1" t="s">
        <v>8</v>
      </c>
    </row>
    <row r="399" customFormat="false" ht="12.75" hidden="false" customHeight="false" outlineLevel="0" collapsed="false">
      <c r="A399" s="1" t="s">
        <v>8</v>
      </c>
    </row>
    <row r="400" customFormat="false" ht="12.75" hidden="false" customHeight="false" outlineLevel="0" collapsed="false">
      <c r="A400" s="1" t="s">
        <v>8</v>
      </c>
    </row>
    <row r="401" customFormat="false" ht="12.75" hidden="false" customHeight="false" outlineLevel="0" collapsed="false">
      <c r="A401" s="1" t="s">
        <v>8</v>
      </c>
    </row>
    <row r="402" customFormat="false" ht="12.75" hidden="false" customHeight="false" outlineLevel="0" collapsed="false">
      <c r="A402" s="1" t="s">
        <v>8</v>
      </c>
    </row>
    <row r="403" customFormat="false" ht="12.75" hidden="false" customHeight="false" outlineLevel="0" collapsed="false">
      <c r="A403" s="1" t="s">
        <v>8</v>
      </c>
    </row>
    <row r="404" customFormat="false" ht="12.75" hidden="false" customHeight="false" outlineLevel="0" collapsed="false">
      <c r="A404" s="1" t="s">
        <v>8</v>
      </c>
    </row>
    <row r="405" customFormat="false" ht="12.75" hidden="false" customHeight="false" outlineLevel="0" collapsed="false">
      <c r="A405" s="1" t="s">
        <v>8</v>
      </c>
    </row>
    <row r="406" customFormat="false" ht="12.75" hidden="false" customHeight="false" outlineLevel="0" collapsed="false">
      <c r="A406" s="1" t="s">
        <v>8</v>
      </c>
    </row>
    <row r="407" customFormat="false" ht="12.75" hidden="false" customHeight="false" outlineLevel="0" collapsed="false">
      <c r="A407" s="1" t="s">
        <v>8</v>
      </c>
    </row>
    <row r="408" customFormat="false" ht="12.75" hidden="false" customHeight="false" outlineLevel="0" collapsed="false">
      <c r="A408" s="1" t="s">
        <v>8</v>
      </c>
    </row>
    <row r="409" customFormat="false" ht="12.75" hidden="false" customHeight="false" outlineLevel="0" collapsed="false">
      <c r="A409" s="1" t="s">
        <v>8</v>
      </c>
    </row>
    <row r="410" customFormat="false" ht="12.75" hidden="false" customHeight="false" outlineLevel="0" collapsed="false">
      <c r="A410" s="1" t="s">
        <v>8</v>
      </c>
    </row>
    <row r="411" customFormat="false" ht="12.75" hidden="false" customHeight="false" outlineLevel="0" collapsed="false">
      <c r="A411" s="1" t="n">
        <v>999</v>
      </c>
    </row>
    <row r="412" customFormat="false" ht="12.75" hidden="false" customHeight="false" outlineLevel="0" collapsed="false">
      <c r="A412" s="1" t="n">
        <v>999</v>
      </c>
    </row>
    <row r="413" customFormat="false" ht="12.75" hidden="false" customHeight="false" outlineLevel="0" collapsed="false">
      <c r="A413" s="1" t="n">
        <v>999</v>
      </c>
    </row>
    <row r="414" customFormat="false" ht="12.75" hidden="false" customHeight="false" outlineLevel="0" collapsed="false">
      <c r="A414" s="1" t="n">
        <v>999</v>
      </c>
    </row>
    <row r="415" customFormat="false" ht="12.75" hidden="false" customHeight="false" outlineLevel="0" collapsed="false">
      <c r="A415" s="1" t="n">
        <v>999</v>
      </c>
    </row>
    <row r="416" customFormat="false" ht="12.75" hidden="false" customHeight="false" outlineLevel="0" collapsed="false">
      <c r="A416" s="1" t="n">
        <v>999</v>
      </c>
    </row>
    <row r="417" customFormat="false" ht="12.75" hidden="false" customHeight="false" outlineLevel="0" collapsed="false">
      <c r="A417" s="1" t="n">
        <v>999</v>
      </c>
    </row>
    <row r="418" customFormat="false" ht="12.75" hidden="false" customHeight="false" outlineLevel="0" collapsed="false">
      <c r="A418" s="1" t="n">
        <v>999</v>
      </c>
    </row>
    <row r="419" customFormat="false" ht="12.75" hidden="false" customHeight="false" outlineLevel="0" collapsed="false">
      <c r="A419" s="1" t="n">
        <v>999</v>
      </c>
    </row>
    <row r="420" customFormat="false" ht="12.75" hidden="false" customHeight="false" outlineLevel="0" collapsed="false">
      <c r="A420" s="1" t="s">
        <v>8</v>
      </c>
    </row>
    <row r="421" customFormat="false" ht="12.75" hidden="false" customHeight="false" outlineLevel="0" collapsed="false">
      <c r="A421" s="1" t="n">
        <v>1</v>
      </c>
    </row>
    <row r="422" customFormat="false" ht="12.75" hidden="false" customHeight="false" outlineLevel="0" collapsed="false">
      <c r="A422" s="1" t="n">
        <v>90000</v>
      </c>
    </row>
    <row r="423" customFormat="false" ht="12.75" hidden="false" customHeight="false" outlineLevel="0" collapsed="false">
      <c r="A423" s="1" t="n">
        <v>55000</v>
      </c>
    </row>
    <row r="424" customFormat="false" ht="12.75" hidden="false" customHeight="false" outlineLevel="0" collapsed="false">
      <c r="A424" s="88" t="s">
        <v>337</v>
      </c>
    </row>
    <row r="425" customFormat="false" ht="12.75" hidden="false" customHeight="false" outlineLevel="0" collapsed="false">
      <c r="A425" s="88" t="s">
        <v>338</v>
      </c>
    </row>
    <row r="426" customFormat="false" ht="12.75" hidden="false" customHeight="false" outlineLevel="0" collapsed="false">
      <c r="A426" s="88" t="s">
        <v>337</v>
      </c>
    </row>
    <row r="427" customFormat="false" ht="12.75" hidden="false" customHeight="false" outlineLevel="0" collapsed="false">
      <c r="A427" s="88" t="s">
        <v>337</v>
      </c>
    </row>
    <row r="428" customFormat="false" ht="12.75" hidden="false" customHeight="false" outlineLevel="0" collapsed="false">
      <c r="A428" s="1" t="n">
        <v>2</v>
      </c>
    </row>
    <row r="429" customFormat="false" ht="12.75" hidden="false" customHeight="false" outlineLevel="0" collapsed="false">
      <c r="A429" s="1" t="n">
        <v>90000</v>
      </c>
    </row>
    <row r="430" customFormat="false" ht="12.75" hidden="false" customHeight="false" outlineLevel="0" collapsed="false">
      <c r="A430" s="1" t="n">
        <v>55000</v>
      </c>
    </row>
    <row r="431" customFormat="false" ht="12.75" hidden="false" customHeight="false" outlineLevel="0" collapsed="false">
      <c r="A431" s="88" t="s">
        <v>337</v>
      </c>
    </row>
    <row r="432" customFormat="false" ht="12.75" hidden="false" customHeight="false" outlineLevel="0" collapsed="false">
      <c r="A432" s="88" t="s">
        <v>338</v>
      </c>
    </row>
    <row r="433" customFormat="false" ht="12.75" hidden="false" customHeight="false" outlineLevel="0" collapsed="false">
      <c r="A433" s="88" t="s">
        <v>337</v>
      </c>
    </row>
    <row r="434" customFormat="false" ht="12.75" hidden="false" customHeight="false" outlineLevel="0" collapsed="false">
      <c r="A434" s="88" t="s">
        <v>337</v>
      </c>
    </row>
    <row r="435" customFormat="false" ht="12.75" hidden="false" customHeight="false" outlineLevel="0" collapsed="false">
      <c r="A435" s="1" t="n">
        <v>3</v>
      </c>
    </row>
    <row r="436" customFormat="false" ht="12.75" hidden="false" customHeight="false" outlineLevel="0" collapsed="false">
      <c r="A436" s="1" t="n">
        <v>90000</v>
      </c>
    </row>
    <row r="437" customFormat="false" ht="12.75" hidden="false" customHeight="false" outlineLevel="0" collapsed="false">
      <c r="A437" s="1" t="n">
        <v>55000</v>
      </c>
    </row>
    <row r="438" customFormat="false" ht="12.75" hidden="false" customHeight="false" outlineLevel="0" collapsed="false">
      <c r="A438" s="88" t="s">
        <v>337</v>
      </c>
    </row>
    <row r="439" customFormat="false" ht="12.75" hidden="false" customHeight="false" outlineLevel="0" collapsed="false">
      <c r="A439" s="88" t="s">
        <v>338</v>
      </c>
    </row>
    <row r="440" customFormat="false" ht="12.75" hidden="false" customHeight="false" outlineLevel="0" collapsed="false">
      <c r="A440" s="88" t="s">
        <v>337</v>
      </c>
    </row>
    <row r="441" customFormat="false" ht="12.75" hidden="false" customHeight="false" outlineLevel="0" collapsed="false">
      <c r="A441" s="88" t="s">
        <v>337</v>
      </c>
    </row>
    <row r="442" customFormat="false" ht="12.75" hidden="false" customHeight="false" outlineLevel="0" collapsed="false">
      <c r="A442" s="1" t="n">
        <v>4</v>
      </c>
    </row>
    <row r="443" customFormat="false" ht="12.75" hidden="false" customHeight="false" outlineLevel="0" collapsed="false">
      <c r="A443" s="1" t="n">
        <v>90000</v>
      </c>
    </row>
    <row r="444" customFormat="false" ht="12.75" hidden="false" customHeight="false" outlineLevel="0" collapsed="false">
      <c r="A444" s="1" t="n">
        <v>55000</v>
      </c>
    </row>
    <row r="445" customFormat="false" ht="12.75" hidden="false" customHeight="false" outlineLevel="0" collapsed="false">
      <c r="A445" s="88" t="s">
        <v>337</v>
      </c>
    </row>
    <row r="446" customFormat="false" ht="12.75" hidden="false" customHeight="false" outlineLevel="0" collapsed="false">
      <c r="A446" s="88" t="s">
        <v>338</v>
      </c>
    </row>
    <row r="447" customFormat="false" ht="12.75" hidden="false" customHeight="false" outlineLevel="0" collapsed="false">
      <c r="A447" s="88" t="s">
        <v>337</v>
      </c>
    </row>
    <row r="448" customFormat="false" ht="12.75" hidden="false" customHeight="false" outlineLevel="0" collapsed="false">
      <c r="A448" s="88" t="s">
        <v>337</v>
      </c>
    </row>
    <row r="449" customFormat="false" ht="12.75" hidden="false" customHeight="false" outlineLevel="0" collapsed="false">
      <c r="A449" s="1" t="n">
        <v>5</v>
      </c>
    </row>
    <row r="450" customFormat="false" ht="12.75" hidden="false" customHeight="false" outlineLevel="0" collapsed="false">
      <c r="A450" s="1" t="n">
        <v>90000</v>
      </c>
    </row>
    <row r="451" customFormat="false" ht="12.75" hidden="false" customHeight="false" outlineLevel="0" collapsed="false">
      <c r="A451" s="1" t="n">
        <v>55000</v>
      </c>
    </row>
    <row r="452" customFormat="false" ht="12.75" hidden="false" customHeight="false" outlineLevel="0" collapsed="false">
      <c r="A452" s="88" t="s">
        <v>337</v>
      </c>
    </row>
    <row r="453" customFormat="false" ht="12.75" hidden="false" customHeight="false" outlineLevel="0" collapsed="false">
      <c r="A453" s="88" t="s">
        <v>338</v>
      </c>
    </row>
    <row r="454" customFormat="false" ht="12.75" hidden="false" customHeight="false" outlineLevel="0" collapsed="false">
      <c r="A454" s="88" t="s">
        <v>337</v>
      </c>
    </row>
    <row r="455" customFormat="false" ht="12.75" hidden="false" customHeight="false" outlineLevel="0" collapsed="false">
      <c r="A455" s="88" t="s">
        <v>337</v>
      </c>
    </row>
    <row r="456" customFormat="false" ht="12.75" hidden="false" customHeight="false" outlineLevel="0" collapsed="false">
      <c r="A456" s="1" t="n">
        <v>6</v>
      </c>
    </row>
    <row r="457" customFormat="false" ht="12.75" hidden="false" customHeight="false" outlineLevel="0" collapsed="false">
      <c r="A457" s="1" t="n">
        <v>90000</v>
      </c>
    </row>
    <row r="458" customFormat="false" ht="12.75" hidden="false" customHeight="false" outlineLevel="0" collapsed="false">
      <c r="A458" s="1" t="n">
        <v>55000</v>
      </c>
    </row>
    <row r="459" customFormat="false" ht="12.75" hidden="false" customHeight="false" outlineLevel="0" collapsed="false">
      <c r="A459" s="88" t="s">
        <v>337</v>
      </c>
    </row>
    <row r="460" customFormat="false" ht="12.75" hidden="false" customHeight="false" outlineLevel="0" collapsed="false">
      <c r="A460" s="88" t="s">
        <v>338</v>
      </c>
    </row>
    <row r="461" customFormat="false" ht="12.75" hidden="false" customHeight="false" outlineLevel="0" collapsed="false">
      <c r="A461" s="88" t="s">
        <v>337</v>
      </c>
    </row>
    <row r="462" customFormat="false" ht="12.75" hidden="false" customHeight="false" outlineLevel="0" collapsed="false">
      <c r="A462" s="88" t="s">
        <v>337</v>
      </c>
    </row>
    <row r="463" customFormat="false" ht="12.75" hidden="false" customHeight="false" outlineLevel="0" collapsed="false">
      <c r="A463" s="1" t="n">
        <v>7</v>
      </c>
    </row>
    <row r="464" customFormat="false" ht="12.75" hidden="false" customHeight="false" outlineLevel="0" collapsed="false">
      <c r="A464" s="1" t="n">
        <v>90000</v>
      </c>
    </row>
    <row r="465" customFormat="false" ht="12.75" hidden="false" customHeight="false" outlineLevel="0" collapsed="false">
      <c r="A465" s="1" t="n">
        <v>55000</v>
      </c>
    </row>
    <row r="466" customFormat="false" ht="12.75" hidden="false" customHeight="false" outlineLevel="0" collapsed="false">
      <c r="A466" s="88" t="s">
        <v>337</v>
      </c>
    </row>
    <row r="467" customFormat="false" ht="12.75" hidden="false" customHeight="false" outlineLevel="0" collapsed="false">
      <c r="A467" s="88" t="s">
        <v>338</v>
      </c>
    </row>
    <row r="468" customFormat="false" ht="12.75" hidden="false" customHeight="false" outlineLevel="0" collapsed="false">
      <c r="A468" s="88" t="s">
        <v>337</v>
      </c>
    </row>
    <row r="469" customFormat="false" ht="12.75" hidden="false" customHeight="false" outlineLevel="0" collapsed="false">
      <c r="A469" s="88" t="s">
        <v>337</v>
      </c>
    </row>
    <row r="470" customFormat="false" ht="12.75" hidden="false" customHeight="false" outlineLevel="0" collapsed="false">
      <c r="A470" s="1" t="n">
        <v>8</v>
      </c>
    </row>
    <row r="471" customFormat="false" ht="12.75" hidden="false" customHeight="false" outlineLevel="0" collapsed="false">
      <c r="A471" s="1" t="n">
        <v>90000</v>
      </c>
    </row>
    <row r="472" customFormat="false" ht="12.75" hidden="false" customHeight="false" outlineLevel="0" collapsed="false">
      <c r="A472" s="1" t="n">
        <v>55000</v>
      </c>
    </row>
    <row r="473" customFormat="false" ht="12.75" hidden="false" customHeight="false" outlineLevel="0" collapsed="false">
      <c r="A473" s="88" t="s">
        <v>337</v>
      </c>
    </row>
    <row r="474" customFormat="false" ht="12.75" hidden="false" customHeight="false" outlineLevel="0" collapsed="false">
      <c r="A474" s="88" t="s">
        <v>338</v>
      </c>
    </row>
    <row r="475" customFormat="false" ht="12.75" hidden="false" customHeight="false" outlineLevel="0" collapsed="false">
      <c r="A475" s="88" t="s">
        <v>337</v>
      </c>
    </row>
    <row r="476" customFormat="false" ht="12.75" hidden="false" customHeight="false" outlineLevel="0" collapsed="false">
      <c r="A476" s="88" t="s">
        <v>337</v>
      </c>
    </row>
    <row r="477" customFormat="false" ht="12.75" hidden="false" customHeight="false" outlineLevel="0" collapsed="false">
      <c r="A477" s="1" t="n">
        <v>999</v>
      </c>
    </row>
    <row r="478" customFormat="false" ht="12.75" hidden="false" customHeight="false" outlineLevel="0" collapsed="false">
      <c r="A478" s="1" t="n">
        <v>999</v>
      </c>
    </row>
    <row r="479" customFormat="false" ht="12.75" hidden="false" customHeight="false" outlineLevel="0" collapsed="false">
      <c r="A479" s="1" t="n">
        <v>999</v>
      </c>
    </row>
    <row r="480" customFormat="false" ht="12.75" hidden="false" customHeight="false" outlineLevel="0" collapsed="false">
      <c r="A480" s="1" t="n">
        <v>999</v>
      </c>
    </row>
    <row r="481" customFormat="false" ht="12.75" hidden="false" customHeight="false" outlineLevel="0" collapsed="false">
      <c r="A481" s="1" t="n">
        <v>999</v>
      </c>
    </row>
    <row r="482" customFormat="false" ht="12.75" hidden="false" customHeight="false" outlineLevel="0" collapsed="false">
      <c r="A482" s="1" t="n">
        <v>999</v>
      </c>
    </row>
    <row r="483" customFormat="false" ht="12.75" hidden="false" customHeight="false" outlineLevel="0" collapsed="false">
      <c r="A483" s="1" t="n">
        <v>999</v>
      </c>
    </row>
    <row r="484" customFormat="false" ht="12.75" hidden="false" customHeight="false" outlineLevel="0" collapsed="false">
      <c r="A484" s="1" t="n">
        <v>999</v>
      </c>
    </row>
    <row r="485" customFormat="false" ht="12.75" hidden="false" customHeight="false" outlineLevel="0" collapsed="false">
      <c r="A485" s="1" t="n">
        <v>999</v>
      </c>
    </row>
    <row r="486" customFormat="false" ht="12.75" hidden="false" customHeight="false" outlineLevel="0" collapsed="false">
      <c r="A486" s="1" t="n">
        <v>999</v>
      </c>
    </row>
    <row r="487" customFormat="false" ht="12.75" hidden="false" customHeight="false" outlineLevel="0" collapsed="false">
      <c r="A487" s="1" t="n">
        <v>999</v>
      </c>
    </row>
    <row r="488" customFormat="false" ht="12.75" hidden="false" customHeight="false" outlineLevel="0" collapsed="false">
      <c r="A488" s="1" t="n">
        <v>999</v>
      </c>
    </row>
    <row r="489" customFormat="false" ht="12.75" hidden="false" customHeight="false" outlineLevel="0" collapsed="false">
      <c r="A489" s="1" t="n">
        <v>999</v>
      </c>
    </row>
    <row r="490" customFormat="false" ht="12.75" hidden="false" customHeight="false" outlineLevel="0" collapsed="false">
      <c r="A490" s="1" t="n">
        <v>999</v>
      </c>
    </row>
    <row r="491" customFormat="false" ht="12.75" hidden="false" customHeight="false" outlineLevel="0" collapsed="false">
      <c r="A491" s="1" t="n">
        <v>999</v>
      </c>
    </row>
    <row r="492" customFormat="false" ht="12.75" hidden="false" customHeight="false" outlineLevel="0" collapsed="false">
      <c r="A492" s="1" t="n">
        <v>999</v>
      </c>
    </row>
    <row r="493" customFormat="false" ht="12.75" hidden="false" customHeight="false" outlineLevel="0" collapsed="false">
      <c r="A493" s="1" t="n">
        <v>999</v>
      </c>
    </row>
    <row r="494" customFormat="false" ht="12.75" hidden="false" customHeight="false" outlineLevel="0" collapsed="false">
      <c r="A494" s="1" t="n">
        <v>999</v>
      </c>
    </row>
    <row r="495" customFormat="false" ht="12.75" hidden="false" customHeight="false" outlineLevel="0" collapsed="false">
      <c r="A495" s="1" t="n">
        <v>999</v>
      </c>
    </row>
    <row r="496" customFormat="false" ht="12.75" hidden="false" customHeight="false" outlineLevel="0" collapsed="false">
      <c r="A496" s="1" t="n">
        <v>999</v>
      </c>
    </row>
    <row r="497" customFormat="false" ht="12.75" hidden="false" customHeight="false" outlineLevel="0" collapsed="false">
      <c r="A497" s="1" t="n">
        <v>999</v>
      </c>
    </row>
    <row r="498" customFormat="false" ht="12.75" hidden="false" customHeight="false" outlineLevel="0" collapsed="false">
      <c r="A498" s="1" t="n">
        <v>999</v>
      </c>
    </row>
    <row r="499" customFormat="false" ht="12.75" hidden="false" customHeight="false" outlineLevel="0" collapsed="false">
      <c r="A499" s="1" t="n">
        <v>999</v>
      </c>
    </row>
    <row r="500" customFormat="false" ht="12.75" hidden="false" customHeight="false" outlineLevel="0" collapsed="false">
      <c r="A500" s="1" t="s">
        <v>339</v>
      </c>
    </row>
    <row r="501" customFormat="false" ht="12.75" hidden="false" customHeight="false" outlineLevel="0" collapsed="false">
      <c r="A501" s="1" t="n">
        <v>20</v>
      </c>
    </row>
    <row r="502" customFormat="false" ht="12.75" hidden="false" customHeight="false" outlineLevel="0" collapsed="false">
      <c r="A502" s="1" t="n">
        <v>5</v>
      </c>
    </row>
    <row r="503" customFormat="false" ht="12.75" hidden="false" customHeight="false" outlineLevel="0" collapsed="false">
      <c r="A503" s="1" t="n">
        <v>47</v>
      </c>
    </row>
    <row r="504" customFormat="false" ht="12.75" hidden="false" customHeight="false" outlineLevel="0" collapsed="false">
      <c r="A504" s="1" t="n">
        <v>58</v>
      </c>
    </row>
    <row r="505" customFormat="false" ht="12.75" hidden="false" customHeight="false" outlineLevel="0" collapsed="false">
      <c r="A505" s="1" t="n">
        <v>3871</v>
      </c>
    </row>
    <row r="506" customFormat="false" ht="12.75" hidden="false" customHeight="false" outlineLevel="0" collapsed="false">
      <c r="A506" s="1" t="n">
        <v>4011</v>
      </c>
    </row>
    <row r="507" customFormat="false" ht="12.75" hidden="false" customHeight="false" outlineLevel="0" collapsed="false">
      <c r="A507" s="1" t="n">
        <v>72</v>
      </c>
    </row>
    <row r="508" customFormat="false" ht="12.75" hidden="false" customHeight="false" outlineLevel="0" collapsed="false">
      <c r="A508" s="1" t="n">
        <v>53</v>
      </c>
    </row>
    <row r="509" customFormat="false" ht="12.75" hidden="false" customHeight="false" outlineLevel="0" collapsed="false">
      <c r="A509" s="1" t="n">
        <v>1532</v>
      </c>
    </row>
    <row r="510" customFormat="false" ht="12.75" hidden="false" customHeight="false" outlineLevel="0" collapsed="false">
      <c r="A510" s="1" t="n">
        <v>1283</v>
      </c>
    </row>
    <row r="511" customFormat="false" ht="12.75" hidden="false" customHeight="false" outlineLevel="0" collapsed="false">
      <c r="A511" s="1" t="n">
        <v>90</v>
      </c>
    </row>
    <row r="512" customFormat="false" ht="12.75" hidden="false" customHeight="false" outlineLevel="0" collapsed="false">
      <c r="A512" s="1" t="n">
        <v>999</v>
      </c>
    </row>
    <row r="513" customFormat="false" ht="12.75" hidden="false" customHeight="false" outlineLevel="0" collapsed="false">
      <c r="A513" s="1" t="n">
        <v>999</v>
      </c>
    </row>
    <row r="514" customFormat="false" ht="12.75" hidden="false" customHeight="false" outlineLevel="0" collapsed="false">
      <c r="A514" s="1" t="n">
        <v>43151</v>
      </c>
    </row>
    <row r="515" customFormat="false" ht="12.75" hidden="false" customHeight="false" outlineLevel="0" collapsed="false">
      <c r="A515" s="1" t="n">
        <v>47946</v>
      </c>
    </row>
    <row r="516" customFormat="false" ht="12.75" hidden="false" customHeight="false" outlineLevel="0" collapsed="false">
      <c r="A516" s="1" t="n">
        <v>45318</v>
      </c>
    </row>
    <row r="517" customFormat="false" ht="12.75" hidden="false" customHeight="false" outlineLevel="0" collapsed="false">
      <c r="A517" s="1" t="n">
        <v>44781</v>
      </c>
    </row>
    <row r="518" customFormat="false" ht="12.75" hidden="false" customHeight="false" outlineLevel="0" collapsed="false">
      <c r="A518" s="1" t="n">
        <v>500</v>
      </c>
    </row>
    <row r="519" customFormat="false" ht="12.75" hidden="false" customHeight="false" outlineLevel="0" collapsed="false">
      <c r="A519" s="1" t="n">
        <v>999</v>
      </c>
    </row>
    <row r="520" customFormat="false" ht="12.75" hidden="false" customHeight="false" outlineLevel="0" collapsed="false">
      <c r="A520" s="1" t="n">
        <v>999</v>
      </c>
    </row>
    <row r="521" customFormat="false" ht="12.75" hidden="false" customHeight="false" outlineLevel="0" collapsed="false">
      <c r="A521" s="1" t="n">
        <v>1</v>
      </c>
    </row>
    <row r="522" customFormat="false" ht="12.75" hidden="false" customHeight="false" outlineLevel="0" collapsed="false">
      <c r="A522" s="1" t="n">
        <v>11132</v>
      </c>
    </row>
    <row r="523" customFormat="false" ht="12.75" hidden="false" customHeight="false" outlineLevel="0" collapsed="false">
      <c r="A523" s="1" t="n">
        <v>3339600</v>
      </c>
    </row>
    <row r="524" customFormat="false" ht="12.75" hidden="false" customHeight="false" outlineLevel="0" collapsed="false">
      <c r="A524" s="1" t="n">
        <v>0</v>
      </c>
    </row>
    <row r="525" customFormat="false" ht="12.75" hidden="false" customHeight="false" outlineLevel="0" collapsed="false">
      <c r="A525" s="1" t="n">
        <v>3339600</v>
      </c>
    </row>
    <row r="526" customFormat="false" ht="12.75" hidden="false" customHeight="false" outlineLevel="0" collapsed="false">
      <c r="A526" s="1" t="n">
        <v>325</v>
      </c>
    </row>
    <row r="527" customFormat="false" ht="12.75" hidden="false" customHeight="false" outlineLevel="0" collapsed="false">
      <c r="A527" s="1" t="n">
        <v>335</v>
      </c>
    </row>
    <row r="528" customFormat="false" ht="12.75" hidden="false" customHeight="false" outlineLevel="0" collapsed="false">
      <c r="A528" s="1" t="n">
        <v>375</v>
      </c>
    </row>
    <row r="529" customFormat="false" ht="12.75" hidden="false" customHeight="false" outlineLevel="0" collapsed="false">
      <c r="A529" s="1" t="n">
        <v>490</v>
      </c>
    </row>
    <row r="530" customFormat="false" ht="12.75" hidden="false" customHeight="false" outlineLevel="0" collapsed="false">
      <c r="A530" s="1" t="n">
        <v>490</v>
      </c>
    </row>
    <row r="531" customFormat="false" ht="12.75" hidden="false" customHeight="false" outlineLevel="0" collapsed="false">
      <c r="A531" s="1" t="n">
        <v>585</v>
      </c>
    </row>
    <row r="532" customFormat="false" ht="12.75" hidden="false" customHeight="false" outlineLevel="0" collapsed="false">
      <c r="A532" s="1" t="n">
        <v>690</v>
      </c>
    </row>
    <row r="533" customFormat="false" ht="12.75" hidden="false" customHeight="false" outlineLevel="0" collapsed="false">
      <c r="A533" s="1" t="n">
        <v>725</v>
      </c>
    </row>
    <row r="534" customFormat="false" ht="12.75" hidden="false" customHeight="false" outlineLevel="0" collapsed="false">
      <c r="A534" s="1" t="n">
        <v>855</v>
      </c>
    </row>
    <row r="535" customFormat="false" ht="12.75" hidden="false" customHeight="false" outlineLevel="0" collapsed="false">
      <c r="A535" s="1" t="n">
        <v>49</v>
      </c>
    </row>
    <row r="536" customFormat="false" ht="12.75" hidden="false" customHeight="false" outlineLevel="0" collapsed="false">
      <c r="A536" s="1" t="n">
        <v>1200</v>
      </c>
    </row>
    <row r="537" customFormat="false" ht="12.75" hidden="false" customHeight="false" outlineLevel="0" collapsed="false">
      <c r="A537" s="1" t="n">
        <v>4</v>
      </c>
    </row>
    <row r="538" customFormat="false" ht="12.75" hidden="false" customHeight="false" outlineLevel="0" collapsed="false">
      <c r="A538" s="1" t="n">
        <v>999</v>
      </c>
    </row>
    <row r="539" customFormat="false" ht="12.75" hidden="false" customHeight="false" outlineLevel="0" collapsed="false">
      <c r="A539" s="1" t="n">
        <v>999</v>
      </c>
    </row>
    <row r="540" customFormat="false" ht="12.75" hidden="false" customHeight="false" outlineLevel="0" collapsed="false">
      <c r="A540" s="1" t="n">
        <v>999</v>
      </c>
    </row>
    <row r="541" customFormat="false" ht="12.75" hidden="false" customHeight="false" outlineLevel="0" collapsed="false">
      <c r="A541" s="1" t="n">
        <v>2</v>
      </c>
    </row>
    <row r="542" customFormat="false" ht="12.75" hidden="false" customHeight="false" outlineLevel="0" collapsed="false">
      <c r="A542" s="1" t="n">
        <v>11132</v>
      </c>
    </row>
    <row r="543" customFormat="false" ht="12.75" hidden="false" customHeight="false" outlineLevel="0" collapsed="false">
      <c r="A543" s="1" t="n">
        <v>3339600</v>
      </c>
    </row>
    <row r="544" customFormat="false" ht="12.75" hidden="false" customHeight="false" outlineLevel="0" collapsed="false">
      <c r="A544" s="1" t="n">
        <v>0</v>
      </c>
    </row>
    <row r="545" customFormat="false" ht="12.75" hidden="false" customHeight="false" outlineLevel="0" collapsed="false">
      <c r="A545" s="1" t="n">
        <v>3339600</v>
      </c>
    </row>
    <row r="546" customFormat="false" ht="12.75" hidden="false" customHeight="false" outlineLevel="0" collapsed="false">
      <c r="A546" s="1" t="n">
        <v>325</v>
      </c>
    </row>
    <row r="547" customFormat="false" ht="12.75" hidden="false" customHeight="false" outlineLevel="0" collapsed="false">
      <c r="A547" s="1" t="n">
        <v>335</v>
      </c>
    </row>
    <row r="548" customFormat="false" ht="12.75" hidden="false" customHeight="false" outlineLevel="0" collapsed="false">
      <c r="A548" s="1" t="n">
        <v>375</v>
      </c>
    </row>
    <row r="549" customFormat="false" ht="12.75" hidden="false" customHeight="false" outlineLevel="0" collapsed="false">
      <c r="A549" s="1" t="n">
        <v>490</v>
      </c>
    </row>
    <row r="550" customFormat="false" ht="12.75" hidden="false" customHeight="false" outlineLevel="0" collapsed="false">
      <c r="A550" s="1" t="n">
        <v>490</v>
      </c>
    </row>
    <row r="551" customFormat="false" ht="12.75" hidden="false" customHeight="false" outlineLevel="0" collapsed="false">
      <c r="A551" s="1" t="n">
        <v>585</v>
      </c>
    </row>
    <row r="552" customFormat="false" ht="12.75" hidden="false" customHeight="false" outlineLevel="0" collapsed="false">
      <c r="A552" s="1" t="n">
        <v>690</v>
      </c>
    </row>
    <row r="553" customFormat="false" ht="12.75" hidden="false" customHeight="false" outlineLevel="0" collapsed="false">
      <c r="A553" s="1" t="n">
        <v>725</v>
      </c>
    </row>
    <row r="554" customFormat="false" ht="12.75" hidden="false" customHeight="false" outlineLevel="0" collapsed="false">
      <c r="A554" s="1" t="n">
        <v>855</v>
      </c>
    </row>
    <row r="555" customFormat="false" ht="12.75" hidden="false" customHeight="false" outlineLevel="0" collapsed="false">
      <c r="A555" s="1" t="n">
        <v>49</v>
      </c>
    </row>
    <row r="556" customFormat="false" ht="12.75" hidden="false" customHeight="false" outlineLevel="0" collapsed="false">
      <c r="A556" s="1" t="n">
        <v>1200</v>
      </c>
    </row>
    <row r="557" customFormat="false" ht="12.75" hidden="false" customHeight="false" outlineLevel="0" collapsed="false">
      <c r="A557" s="1" t="n">
        <v>4</v>
      </c>
    </row>
    <row r="558" customFormat="false" ht="12.75" hidden="false" customHeight="false" outlineLevel="0" collapsed="false">
      <c r="A558" s="1" t="n">
        <v>999</v>
      </c>
    </row>
    <row r="559" customFormat="false" ht="12.75" hidden="false" customHeight="false" outlineLevel="0" collapsed="false">
      <c r="A559" s="1" t="n">
        <v>999</v>
      </c>
    </row>
    <row r="560" customFormat="false" ht="12.75" hidden="false" customHeight="false" outlineLevel="0" collapsed="false">
      <c r="A560" s="1" t="n">
        <v>999</v>
      </c>
    </row>
    <row r="561" customFormat="false" ht="12.75" hidden="false" customHeight="false" outlineLevel="0" collapsed="false">
      <c r="A561" s="1" t="n">
        <v>3</v>
      </c>
    </row>
    <row r="562" customFormat="false" ht="12.75" hidden="false" customHeight="false" outlineLevel="0" collapsed="false">
      <c r="A562" s="1" t="n">
        <v>11132</v>
      </c>
    </row>
    <row r="563" customFormat="false" ht="12.75" hidden="false" customHeight="false" outlineLevel="0" collapsed="false">
      <c r="A563" s="1" t="n">
        <v>3339600</v>
      </c>
    </row>
    <row r="564" customFormat="false" ht="12.75" hidden="false" customHeight="false" outlineLevel="0" collapsed="false">
      <c r="A564" s="1" t="n">
        <v>0</v>
      </c>
    </row>
    <row r="565" customFormat="false" ht="12.75" hidden="false" customHeight="false" outlineLevel="0" collapsed="false">
      <c r="A565" s="1" t="n">
        <v>3339600</v>
      </c>
    </row>
    <row r="566" customFormat="false" ht="12.75" hidden="false" customHeight="false" outlineLevel="0" collapsed="false">
      <c r="A566" s="1" t="n">
        <v>325</v>
      </c>
    </row>
    <row r="567" customFormat="false" ht="12.75" hidden="false" customHeight="false" outlineLevel="0" collapsed="false">
      <c r="A567" s="1" t="n">
        <v>335</v>
      </c>
    </row>
    <row r="568" customFormat="false" ht="12.75" hidden="false" customHeight="false" outlineLevel="0" collapsed="false">
      <c r="A568" s="1" t="n">
        <v>375</v>
      </c>
    </row>
    <row r="569" customFormat="false" ht="12.75" hidden="false" customHeight="false" outlineLevel="0" collapsed="false">
      <c r="A569" s="1" t="n">
        <v>490</v>
      </c>
    </row>
    <row r="570" customFormat="false" ht="12.75" hidden="false" customHeight="false" outlineLevel="0" collapsed="false">
      <c r="A570" s="1" t="n">
        <v>490</v>
      </c>
    </row>
    <row r="571" customFormat="false" ht="12.75" hidden="false" customHeight="false" outlineLevel="0" collapsed="false">
      <c r="A571" s="1" t="n">
        <v>585</v>
      </c>
    </row>
    <row r="572" customFormat="false" ht="12.75" hidden="false" customHeight="false" outlineLevel="0" collapsed="false">
      <c r="A572" s="1" t="n">
        <v>690</v>
      </c>
    </row>
    <row r="573" customFormat="false" ht="12.75" hidden="false" customHeight="false" outlineLevel="0" collapsed="false">
      <c r="A573" s="1" t="n">
        <v>725</v>
      </c>
    </row>
    <row r="574" customFormat="false" ht="12.75" hidden="false" customHeight="false" outlineLevel="0" collapsed="false">
      <c r="A574" s="1" t="n">
        <v>855</v>
      </c>
    </row>
    <row r="575" customFormat="false" ht="12.75" hidden="false" customHeight="false" outlineLevel="0" collapsed="false">
      <c r="A575" s="1" t="n">
        <v>49</v>
      </c>
    </row>
    <row r="576" customFormat="false" ht="12.75" hidden="false" customHeight="false" outlineLevel="0" collapsed="false">
      <c r="A576" s="1" t="n">
        <v>1200</v>
      </c>
    </row>
    <row r="577" customFormat="false" ht="12.75" hidden="false" customHeight="false" outlineLevel="0" collapsed="false">
      <c r="A577" s="1" t="n">
        <v>4</v>
      </c>
    </row>
    <row r="578" customFormat="false" ht="12.75" hidden="false" customHeight="false" outlineLevel="0" collapsed="false">
      <c r="A578" s="1" t="n">
        <v>999</v>
      </c>
    </row>
    <row r="579" customFormat="false" ht="12.75" hidden="false" customHeight="false" outlineLevel="0" collapsed="false">
      <c r="A579" s="1" t="n">
        <v>999</v>
      </c>
    </row>
    <row r="580" customFormat="false" ht="12.75" hidden="false" customHeight="false" outlineLevel="0" collapsed="false">
      <c r="A580" s="1" t="n">
        <v>999</v>
      </c>
    </row>
    <row r="581" customFormat="false" ht="12.75" hidden="false" customHeight="false" outlineLevel="0" collapsed="false">
      <c r="A581" s="1" t="n">
        <v>4</v>
      </c>
    </row>
    <row r="582" customFormat="false" ht="12.75" hidden="false" customHeight="false" outlineLevel="0" collapsed="false">
      <c r="A582" s="1" t="n">
        <v>11132</v>
      </c>
    </row>
    <row r="583" customFormat="false" ht="12.75" hidden="false" customHeight="false" outlineLevel="0" collapsed="false">
      <c r="A583" s="1" t="n">
        <v>3339600</v>
      </c>
    </row>
    <row r="584" customFormat="false" ht="12.75" hidden="false" customHeight="false" outlineLevel="0" collapsed="false">
      <c r="A584" s="1" t="n">
        <v>0</v>
      </c>
    </row>
    <row r="585" customFormat="false" ht="12.75" hidden="false" customHeight="false" outlineLevel="0" collapsed="false">
      <c r="A585" s="1" t="n">
        <v>3339600</v>
      </c>
    </row>
    <row r="586" customFormat="false" ht="12.75" hidden="false" customHeight="false" outlineLevel="0" collapsed="false">
      <c r="A586" s="1" t="n">
        <v>325</v>
      </c>
    </row>
    <row r="587" customFormat="false" ht="12.75" hidden="false" customHeight="false" outlineLevel="0" collapsed="false">
      <c r="A587" s="1" t="n">
        <v>335</v>
      </c>
    </row>
    <row r="588" customFormat="false" ht="12.75" hidden="false" customHeight="false" outlineLevel="0" collapsed="false">
      <c r="A588" s="1" t="n">
        <v>375</v>
      </c>
    </row>
    <row r="589" customFormat="false" ht="12.75" hidden="false" customHeight="false" outlineLevel="0" collapsed="false">
      <c r="A589" s="1" t="n">
        <v>490</v>
      </c>
    </row>
    <row r="590" customFormat="false" ht="12.75" hidden="false" customHeight="false" outlineLevel="0" collapsed="false">
      <c r="A590" s="1" t="n">
        <v>490</v>
      </c>
    </row>
    <row r="591" customFormat="false" ht="12.75" hidden="false" customHeight="false" outlineLevel="0" collapsed="false">
      <c r="A591" s="1" t="n">
        <v>585</v>
      </c>
    </row>
    <row r="592" customFormat="false" ht="12.75" hidden="false" customHeight="false" outlineLevel="0" collapsed="false">
      <c r="A592" s="1" t="n">
        <v>690</v>
      </c>
    </row>
    <row r="593" customFormat="false" ht="12.75" hidden="false" customHeight="false" outlineLevel="0" collapsed="false">
      <c r="A593" s="1" t="n">
        <v>725</v>
      </c>
    </row>
    <row r="594" customFormat="false" ht="12.75" hidden="false" customHeight="false" outlineLevel="0" collapsed="false">
      <c r="A594" s="1" t="n">
        <v>855</v>
      </c>
    </row>
    <row r="595" customFormat="false" ht="12.75" hidden="false" customHeight="false" outlineLevel="0" collapsed="false">
      <c r="A595" s="1" t="n">
        <v>49</v>
      </c>
    </row>
    <row r="596" customFormat="false" ht="12.75" hidden="false" customHeight="false" outlineLevel="0" collapsed="false">
      <c r="A596" s="1" t="n">
        <v>1200</v>
      </c>
    </row>
    <row r="597" customFormat="false" ht="12.75" hidden="false" customHeight="false" outlineLevel="0" collapsed="false">
      <c r="A597" s="1" t="n">
        <v>4</v>
      </c>
    </row>
    <row r="598" customFormat="false" ht="12.75" hidden="false" customHeight="false" outlineLevel="0" collapsed="false">
      <c r="A598" s="1" t="n">
        <v>999</v>
      </c>
    </row>
    <row r="599" customFormat="false" ht="12.75" hidden="false" customHeight="false" outlineLevel="0" collapsed="false">
      <c r="A599" s="1" t="n">
        <v>999</v>
      </c>
    </row>
    <row r="600" customFormat="false" ht="12.75" hidden="false" customHeight="false" outlineLevel="0" collapsed="false">
      <c r="A600" s="1" t="n">
        <v>999</v>
      </c>
    </row>
    <row r="601" customFormat="false" ht="12.75" hidden="false" customHeight="false" outlineLevel="0" collapsed="false">
      <c r="A601" s="1" t="n">
        <v>5</v>
      </c>
    </row>
    <row r="602" customFormat="false" ht="12.75" hidden="false" customHeight="false" outlineLevel="0" collapsed="false">
      <c r="A602" s="1" t="n">
        <v>11132</v>
      </c>
    </row>
    <row r="603" customFormat="false" ht="12.75" hidden="false" customHeight="false" outlineLevel="0" collapsed="false">
      <c r="A603" s="1" t="n">
        <v>3339600</v>
      </c>
    </row>
    <row r="604" customFormat="false" ht="12.75" hidden="false" customHeight="false" outlineLevel="0" collapsed="false">
      <c r="A604" s="1" t="n">
        <v>0</v>
      </c>
    </row>
    <row r="605" customFormat="false" ht="12.75" hidden="false" customHeight="false" outlineLevel="0" collapsed="false">
      <c r="A605" s="1" t="n">
        <v>3339600</v>
      </c>
    </row>
    <row r="606" customFormat="false" ht="12.75" hidden="false" customHeight="false" outlineLevel="0" collapsed="false">
      <c r="A606" s="1" t="n">
        <v>325</v>
      </c>
    </row>
    <row r="607" customFormat="false" ht="12.75" hidden="false" customHeight="false" outlineLevel="0" collapsed="false">
      <c r="A607" s="1" t="n">
        <v>335</v>
      </c>
    </row>
    <row r="608" customFormat="false" ht="12.75" hidden="false" customHeight="false" outlineLevel="0" collapsed="false">
      <c r="A608" s="1" t="n">
        <v>375</v>
      </c>
    </row>
    <row r="609" customFormat="false" ht="12.75" hidden="false" customHeight="false" outlineLevel="0" collapsed="false">
      <c r="A609" s="1" t="n">
        <v>490</v>
      </c>
    </row>
    <row r="610" customFormat="false" ht="12.75" hidden="false" customHeight="false" outlineLevel="0" collapsed="false">
      <c r="A610" s="1" t="n">
        <v>490</v>
      </c>
    </row>
    <row r="611" customFormat="false" ht="12.75" hidden="false" customHeight="false" outlineLevel="0" collapsed="false">
      <c r="A611" s="1" t="n">
        <v>585</v>
      </c>
    </row>
    <row r="612" customFormat="false" ht="12.75" hidden="false" customHeight="false" outlineLevel="0" collapsed="false">
      <c r="A612" s="1" t="n">
        <v>690</v>
      </c>
    </row>
    <row r="613" customFormat="false" ht="12.75" hidden="false" customHeight="false" outlineLevel="0" collapsed="false">
      <c r="A613" s="1" t="n">
        <v>725</v>
      </c>
    </row>
    <row r="614" customFormat="false" ht="12.75" hidden="false" customHeight="false" outlineLevel="0" collapsed="false">
      <c r="A614" s="1" t="n">
        <v>855</v>
      </c>
    </row>
    <row r="615" customFormat="false" ht="12.75" hidden="false" customHeight="false" outlineLevel="0" collapsed="false">
      <c r="A615" s="1" t="n">
        <v>49</v>
      </c>
    </row>
    <row r="616" customFormat="false" ht="12.75" hidden="false" customHeight="false" outlineLevel="0" collapsed="false">
      <c r="A616" s="1" t="n">
        <v>1200</v>
      </c>
    </row>
    <row r="617" customFormat="false" ht="12.75" hidden="false" customHeight="false" outlineLevel="0" collapsed="false">
      <c r="A617" s="1" t="n">
        <v>4</v>
      </c>
    </row>
    <row r="618" customFormat="false" ht="12.75" hidden="false" customHeight="false" outlineLevel="0" collapsed="false">
      <c r="A618" s="1" t="n">
        <v>999</v>
      </c>
    </row>
    <row r="619" customFormat="false" ht="12.75" hidden="false" customHeight="false" outlineLevel="0" collapsed="false">
      <c r="A619" s="1" t="n">
        <v>999</v>
      </c>
    </row>
    <row r="620" customFormat="false" ht="12.75" hidden="false" customHeight="false" outlineLevel="0" collapsed="false">
      <c r="A620" s="1" t="n">
        <v>999</v>
      </c>
    </row>
    <row r="621" customFormat="false" ht="12.75" hidden="false" customHeight="false" outlineLevel="0" collapsed="false">
      <c r="A621" s="1" t="n">
        <v>6</v>
      </c>
    </row>
    <row r="622" customFormat="false" ht="12.75" hidden="false" customHeight="false" outlineLevel="0" collapsed="false">
      <c r="A622" s="1" t="n">
        <v>11132</v>
      </c>
    </row>
    <row r="623" customFormat="false" ht="12.75" hidden="false" customHeight="false" outlineLevel="0" collapsed="false">
      <c r="A623" s="1" t="n">
        <v>3339600</v>
      </c>
    </row>
    <row r="624" customFormat="false" ht="12.75" hidden="false" customHeight="false" outlineLevel="0" collapsed="false">
      <c r="A624" s="1" t="n">
        <v>0</v>
      </c>
    </row>
    <row r="625" customFormat="false" ht="12.75" hidden="false" customHeight="false" outlineLevel="0" collapsed="false">
      <c r="A625" s="1" t="n">
        <v>3339600</v>
      </c>
    </row>
    <row r="626" customFormat="false" ht="12.75" hidden="false" customHeight="false" outlineLevel="0" collapsed="false">
      <c r="A626" s="1" t="n">
        <v>325</v>
      </c>
    </row>
    <row r="627" customFormat="false" ht="12.75" hidden="false" customHeight="false" outlineLevel="0" collapsed="false">
      <c r="A627" s="1" t="n">
        <v>335</v>
      </c>
    </row>
    <row r="628" customFormat="false" ht="12.75" hidden="false" customHeight="false" outlineLevel="0" collapsed="false">
      <c r="A628" s="1" t="n">
        <v>375</v>
      </c>
    </row>
    <row r="629" customFormat="false" ht="12.75" hidden="false" customHeight="false" outlineLevel="0" collapsed="false">
      <c r="A629" s="1" t="n">
        <v>490</v>
      </c>
    </row>
    <row r="630" customFormat="false" ht="12.75" hidden="false" customHeight="false" outlineLevel="0" collapsed="false">
      <c r="A630" s="1" t="n">
        <v>490</v>
      </c>
    </row>
    <row r="631" customFormat="false" ht="12.75" hidden="false" customHeight="false" outlineLevel="0" collapsed="false">
      <c r="A631" s="1" t="n">
        <v>585</v>
      </c>
    </row>
    <row r="632" customFormat="false" ht="12.75" hidden="false" customHeight="false" outlineLevel="0" collapsed="false">
      <c r="A632" s="1" t="n">
        <v>690</v>
      </c>
    </row>
    <row r="633" customFormat="false" ht="12.75" hidden="false" customHeight="false" outlineLevel="0" collapsed="false">
      <c r="A633" s="1" t="n">
        <v>725</v>
      </c>
    </row>
    <row r="634" customFormat="false" ht="12.75" hidden="false" customHeight="false" outlineLevel="0" collapsed="false">
      <c r="A634" s="1" t="n">
        <v>855</v>
      </c>
    </row>
    <row r="635" customFormat="false" ht="12.75" hidden="false" customHeight="false" outlineLevel="0" collapsed="false">
      <c r="A635" s="1" t="n">
        <v>49</v>
      </c>
    </row>
    <row r="636" customFormat="false" ht="12.75" hidden="false" customHeight="false" outlineLevel="0" collapsed="false">
      <c r="A636" s="1" t="n">
        <v>1200</v>
      </c>
    </row>
    <row r="637" customFormat="false" ht="12.75" hidden="false" customHeight="false" outlineLevel="0" collapsed="false">
      <c r="A637" s="1" t="n">
        <v>4</v>
      </c>
    </row>
    <row r="638" customFormat="false" ht="12.75" hidden="false" customHeight="false" outlineLevel="0" collapsed="false">
      <c r="A638" s="1" t="n">
        <v>999</v>
      </c>
    </row>
    <row r="639" customFormat="false" ht="12.75" hidden="false" customHeight="false" outlineLevel="0" collapsed="false">
      <c r="A639" s="1" t="n">
        <v>999</v>
      </c>
    </row>
    <row r="640" customFormat="false" ht="12.75" hidden="false" customHeight="false" outlineLevel="0" collapsed="false">
      <c r="A640" s="1" t="n">
        <v>999</v>
      </c>
    </row>
    <row r="641" customFormat="false" ht="12.75" hidden="false" customHeight="false" outlineLevel="0" collapsed="false">
      <c r="A641" s="1" t="n">
        <v>7</v>
      </c>
    </row>
    <row r="642" customFormat="false" ht="12.75" hidden="false" customHeight="false" outlineLevel="0" collapsed="false">
      <c r="A642" s="1" t="n">
        <v>11132</v>
      </c>
    </row>
    <row r="643" customFormat="false" ht="12.75" hidden="false" customHeight="false" outlineLevel="0" collapsed="false">
      <c r="A643" s="1" t="n">
        <v>3339600</v>
      </c>
    </row>
    <row r="644" customFormat="false" ht="12.75" hidden="false" customHeight="false" outlineLevel="0" collapsed="false">
      <c r="A644" s="1" t="n">
        <v>0</v>
      </c>
    </row>
    <row r="645" customFormat="false" ht="12.75" hidden="false" customHeight="false" outlineLevel="0" collapsed="false">
      <c r="A645" s="1" t="n">
        <v>3339600</v>
      </c>
    </row>
    <row r="646" customFormat="false" ht="12.75" hidden="false" customHeight="false" outlineLevel="0" collapsed="false">
      <c r="A646" s="1" t="n">
        <v>325</v>
      </c>
    </row>
    <row r="647" customFormat="false" ht="12.75" hidden="false" customHeight="false" outlineLevel="0" collapsed="false">
      <c r="A647" s="1" t="n">
        <v>335</v>
      </c>
    </row>
    <row r="648" customFormat="false" ht="12.75" hidden="false" customHeight="false" outlineLevel="0" collapsed="false">
      <c r="A648" s="1" t="n">
        <v>375</v>
      </c>
    </row>
    <row r="649" customFormat="false" ht="12.75" hidden="false" customHeight="false" outlineLevel="0" collapsed="false">
      <c r="A649" s="1" t="n">
        <v>490</v>
      </c>
    </row>
    <row r="650" customFormat="false" ht="12.75" hidden="false" customHeight="false" outlineLevel="0" collapsed="false">
      <c r="A650" s="1" t="n">
        <v>490</v>
      </c>
    </row>
    <row r="651" customFormat="false" ht="12.75" hidden="false" customHeight="false" outlineLevel="0" collapsed="false">
      <c r="A651" s="1" t="n">
        <v>585</v>
      </c>
    </row>
    <row r="652" customFormat="false" ht="12.75" hidden="false" customHeight="false" outlineLevel="0" collapsed="false">
      <c r="A652" s="1" t="n">
        <v>690</v>
      </c>
    </row>
    <row r="653" customFormat="false" ht="12.75" hidden="false" customHeight="false" outlineLevel="0" collapsed="false">
      <c r="A653" s="1" t="n">
        <v>725</v>
      </c>
    </row>
    <row r="654" customFormat="false" ht="12.75" hidden="false" customHeight="false" outlineLevel="0" collapsed="false">
      <c r="A654" s="1" t="n">
        <v>855</v>
      </c>
    </row>
    <row r="655" customFormat="false" ht="12.75" hidden="false" customHeight="false" outlineLevel="0" collapsed="false">
      <c r="A655" s="1" t="n">
        <v>49</v>
      </c>
    </row>
    <row r="656" customFormat="false" ht="12.75" hidden="false" customHeight="false" outlineLevel="0" collapsed="false">
      <c r="A656" s="1" t="n">
        <v>1200</v>
      </c>
    </row>
    <row r="657" customFormat="false" ht="12.75" hidden="false" customHeight="false" outlineLevel="0" collapsed="false">
      <c r="A657" s="1" t="n">
        <v>4</v>
      </c>
    </row>
    <row r="658" customFormat="false" ht="12.75" hidden="false" customHeight="false" outlineLevel="0" collapsed="false">
      <c r="A658" s="1" t="n">
        <v>999</v>
      </c>
    </row>
    <row r="659" customFormat="false" ht="12.75" hidden="false" customHeight="false" outlineLevel="0" collapsed="false">
      <c r="A659" s="1" t="n">
        <v>999</v>
      </c>
    </row>
    <row r="660" customFormat="false" ht="12.75" hidden="false" customHeight="false" outlineLevel="0" collapsed="false">
      <c r="A660" s="1" t="n">
        <v>999</v>
      </c>
    </row>
    <row r="661" customFormat="false" ht="12.75" hidden="false" customHeight="false" outlineLevel="0" collapsed="false">
      <c r="A661" s="1" t="n">
        <v>8</v>
      </c>
    </row>
    <row r="662" customFormat="false" ht="12.75" hidden="false" customHeight="false" outlineLevel="0" collapsed="false">
      <c r="A662" s="1" t="n">
        <v>11132</v>
      </c>
    </row>
    <row r="663" customFormat="false" ht="12.75" hidden="false" customHeight="false" outlineLevel="0" collapsed="false">
      <c r="A663" s="1" t="n">
        <v>3339600</v>
      </c>
    </row>
    <row r="664" customFormat="false" ht="12.75" hidden="false" customHeight="false" outlineLevel="0" collapsed="false">
      <c r="A664" s="1" t="n">
        <v>0</v>
      </c>
    </row>
    <row r="665" customFormat="false" ht="12.75" hidden="false" customHeight="false" outlineLevel="0" collapsed="false">
      <c r="A665" s="1" t="n">
        <v>3339600</v>
      </c>
    </row>
    <row r="666" customFormat="false" ht="12.75" hidden="false" customHeight="false" outlineLevel="0" collapsed="false">
      <c r="A666" s="1" t="n">
        <v>325</v>
      </c>
    </row>
    <row r="667" customFormat="false" ht="12.75" hidden="false" customHeight="false" outlineLevel="0" collapsed="false">
      <c r="A667" s="1" t="n">
        <v>335</v>
      </c>
    </row>
    <row r="668" customFormat="false" ht="12.75" hidden="false" customHeight="false" outlineLevel="0" collapsed="false">
      <c r="A668" s="1" t="n">
        <v>375</v>
      </c>
    </row>
    <row r="669" customFormat="false" ht="12.75" hidden="false" customHeight="false" outlineLevel="0" collapsed="false">
      <c r="A669" s="1" t="n">
        <v>490</v>
      </c>
    </row>
    <row r="670" customFormat="false" ht="12.75" hidden="false" customHeight="false" outlineLevel="0" collapsed="false">
      <c r="A670" s="1" t="n">
        <v>490</v>
      </c>
    </row>
    <row r="671" customFormat="false" ht="12.75" hidden="false" customHeight="false" outlineLevel="0" collapsed="false">
      <c r="A671" s="1" t="n">
        <v>585</v>
      </c>
    </row>
    <row r="672" customFormat="false" ht="12.75" hidden="false" customHeight="false" outlineLevel="0" collapsed="false">
      <c r="A672" s="1" t="n">
        <v>690</v>
      </c>
    </row>
    <row r="673" customFormat="false" ht="12.75" hidden="false" customHeight="false" outlineLevel="0" collapsed="false">
      <c r="A673" s="1" t="n">
        <v>725</v>
      </c>
    </row>
    <row r="674" customFormat="false" ht="12.75" hidden="false" customHeight="false" outlineLevel="0" collapsed="false">
      <c r="A674" s="1" t="n">
        <v>855</v>
      </c>
    </row>
    <row r="675" customFormat="false" ht="12.75" hidden="false" customHeight="false" outlineLevel="0" collapsed="false">
      <c r="A675" s="1" t="n">
        <v>49</v>
      </c>
    </row>
    <row r="676" customFormat="false" ht="12.75" hidden="false" customHeight="false" outlineLevel="0" collapsed="false">
      <c r="A676" s="1" t="n">
        <v>1200</v>
      </c>
    </row>
    <row r="677" customFormat="false" ht="12.75" hidden="false" customHeight="false" outlineLevel="0" collapsed="false">
      <c r="A677" s="1" t="n">
        <v>4</v>
      </c>
    </row>
    <row r="678" customFormat="false" ht="12.75" hidden="false" customHeight="false" outlineLevel="0" collapsed="false">
      <c r="A678" s="1" t="n">
        <v>999</v>
      </c>
    </row>
    <row r="679" customFormat="false" ht="12.75" hidden="false" customHeight="false" outlineLevel="0" collapsed="false">
      <c r="A679" s="1" t="n">
        <v>999</v>
      </c>
    </row>
    <row r="680" customFormat="false" ht="12.75" hidden="false" customHeight="false" outlineLevel="0" collapsed="false">
      <c r="A680" s="1" t="n">
        <v>999</v>
      </c>
    </row>
    <row r="681" customFormat="false" ht="12.75" hidden="false" customHeight="false" outlineLevel="0" collapsed="false">
      <c r="A681" s="1" t="s">
        <v>340</v>
      </c>
    </row>
    <row r="682" customFormat="false" ht="12.75" hidden="false" customHeight="false" outlineLevel="0" collapsed="false">
      <c r="A682" s="1" t="s">
        <v>341</v>
      </c>
    </row>
    <row r="683" customFormat="false" ht="12.75" hidden="false" customHeight="false" outlineLevel="0" collapsed="false">
      <c r="A683" s="1" t="s">
        <v>342</v>
      </c>
    </row>
    <row r="684" customFormat="false" ht="12.75" hidden="false" customHeight="false" outlineLevel="0" collapsed="false">
      <c r="A684" s="1" t="s">
        <v>8</v>
      </c>
    </row>
    <row r="685" customFormat="false" ht="12.75" hidden="false" customHeight="false" outlineLevel="0" collapsed="false">
      <c r="A685" s="1" t="s">
        <v>8</v>
      </c>
    </row>
    <row r="686" customFormat="false" ht="12.75" hidden="false" customHeight="false" outlineLevel="0" collapsed="false">
      <c r="A686" s="1" t="s">
        <v>8</v>
      </c>
    </row>
    <row r="687" customFormat="false" ht="12.75" hidden="false" customHeight="false" outlineLevel="0" collapsed="false">
      <c r="A687" s="1" t="n">
        <v>999</v>
      </c>
    </row>
    <row r="688" customFormat="false" ht="12.75" hidden="false" customHeight="false" outlineLevel="0" collapsed="false">
      <c r="A688" s="1" t="n">
        <v>999</v>
      </c>
    </row>
    <row r="689" customFormat="false" ht="12.75" hidden="false" customHeight="false" outlineLevel="0" collapsed="false">
      <c r="A689" s="1" t="n">
        <v>999</v>
      </c>
    </row>
    <row r="690" customFormat="false" ht="12.75" hidden="false" customHeight="false" outlineLevel="0" collapsed="false">
      <c r="A690" s="1" t="n">
        <v>999</v>
      </c>
    </row>
    <row r="691" customFormat="false" ht="12.75" hidden="false" customHeight="false" outlineLevel="0" collapsed="false">
      <c r="A691" s="1" t="n">
        <v>999</v>
      </c>
    </row>
    <row r="692" customFormat="false" ht="12.75" hidden="false" customHeight="false" outlineLevel="0" collapsed="false">
      <c r="A692" s="1" t="n">
        <v>999</v>
      </c>
    </row>
    <row r="693" customFormat="false" ht="12.75" hidden="false" customHeight="false" outlineLevel="0" collapsed="false">
      <c r="A693" s="1" t="n">
        <v>999</v>
      </c>
    </row>
    <row r="694" customFormat="false" ht="12.75" hidden="false" customHeight="false" outlineLevel="0" collapsed="false">
      <c r="A694" s="1" t="n">
        <v>999</v>
      </c>
    </row>
    <row r="695" customFormat="false" ht="12.75" hidden="false" customHeight="false" outlineLevel="0" collapsed="false">
      <c r="A695" s="1" t="n">
        <v>999</v>
      </c>
    </row>
    <row r="696" customFormat="false" ht="12.75" hidden="false" customHeight="false" outlineLevel="0" collapsed="false">
      <c r="A696" s="1" t="n">
        <v>999</v>
      </c>
    </row>
    <row r="697" customFormat="false" ht="12.75" hidden="false" customHeight="false" outlineLevel="0" collapsed="false">
      <c r="A697" s="1" t="n">
        <v>999</v>
      </c>
    </row>
    <row r="698" customFormat="false" ht="12.75" hidden="false" customHeight="false" outlineLevel="0" collapsed="false">
      <c r="A698" s="1" t="n">
        <v>999</v>
      </c>
    </row>
    <row r="700" customFormat="false" ht="12.75" hidden="false" customHeight="false" outlineLevel="0" collapsed="false">
      <c r="A700" s="1" t="s">
        <v>8</v>
      </c>
    </row>
    <row r="701" customFormat="false" ht="12.75" hidden="false" customHeight="false" outlineLevel="0" collapsed="false">
      <c r="A701" s="1" t="n">
        <v>1</v>
      </c>
    </row>
    <row r="702" customFormat="false" ht="12.75" hidden="false" customHeight="false" outlineLevel="0" collapsed="false">
      <c r="A702" s="1" t="n">
        <v>1370870</v>
      </c>
    </row>
    <row r="703" customFormat="false" ht="12.75" hidden="false" customHeight="false" outlineLevel="0" collapsed="false">
      <c r="A703" s="1" t="n">
        <v>136389</v>
      </c>
    </row>
    <row r="704" customFormat="false" ht="12.75" hidden="false" customHeight="false" outlineLevel="0" collapsed="false">
      <c r="A704" s="1" t="n">
        <v>783183</v>
      </c>
    </row>
    <row r="705" customFormat="false" ht="12.75" hidden="false" customHeight="false" outlineLevel="0" collapsed="false">
      <c r="A705" s="1" t="n">
        <v>1150000</v>
      </c>
    </row>
    <row r="706" customFormat="false" ht="12.75" hidden="false" customHeight="false" outlineLevel="0" collapsed="false">
      <c r="A706" s="1" t="n">
        <v>999</v>
      </c>
    </row>
    <row r="707" customFormat="false" ht="12.75" hidden="false" customHeight="false" outlineLevel="0" collapsed="false">
      <c r="A707" s="1" t="n">
        <v>999</v>
      </c>
    </row>
    <row r="708" customFormat="false" ht="12.75" hidden="false" customHeight="false" outlineLevel="0" collapsed="false">
      <c r="A708" s="1" t="n">
        <v>0</v>
      </c>
    </row>
    <row r="709" customFormat="false" ht="12.75" hidden="false" customHeight="false" outlineLevel="0" collapsed="false">
      <c r="A709" s="1" t="n">
        <v>284228</v>
      </c>
    </row>
    <row r="710" customFormat="false" ht="12.75" hidden="false" customHeight="false" outlineLevel="0" collapsed="false">
      <c r="A710" s="1" t="n">
        <v>97987</v>
      </c>
    </row>
    <row r="711" customFormat="false" ht="12.75" hidden="false" customHeight="false" outlineLevel="0" collapsed="false">
      <c r="A711" s="1" t="n">
        <v>999</v>
      </c>
    </row>
    <row r="712" customFormat="false" ht="12.75" hidden="false" customHeight="false" outlineLevel="0" collapsed="false">
      <c r="A712" s="1" t="n">
        <v>0</v>
      </c>
    </row>
    <row r="713" customFormat="false" ht="12.75" hidden="false" customHeight="false" outlineLevel="0" collapsed="false">
      <c r="A713" s="1" t="n">
        <v>999</v>
      </c>
    </row>
    <row r="714" customFormat="false" ht="12.75" hidden="false" customHeight="false" outlineLevel="0" collapsed="false">
      <c r="A714" s="1" t="n">
        <v>3000000</v>
      </c>
    </row>
    <row r="715" customFormat="false" ht="12.75" hidden="false" customHeight="false" outlineLevel="0" collapsed="false">
      <c r="A715" s="1" t="n">
        <v>0</v>
      </c>
    </row>
    <row r="716" customFormat="false" ht="12.75" hidden="false" customHeight="false" outlineLevel="0" collapsed="false">
      <c r="A716" s="1" t="n">
        <v>58227</v>
      </c>
    </row>
    <row r="717" customFormat="false" ht="12.75" hidden="false" customHeight="false" outlineLevel="0" collapsed="false">
      <c r="A717" s="1" t="n">
        <v>3058227</v>
      </c>
    </row>
    <row r="718" customFormat="false" ht="12.75" hidden="false" customHeight="false" outlineLevel="0" collapsed="false">
      <c r="A718" s="1" t="n">
        <v>999</v>
      </c>
    </row>
    <row r="719" customFormat="false" ht="12.75" hidden="false" customHeight="false" outlineLevel="0" collapsed="false">
      <c r="A719" s="1" t="n">
        <v>999</v>
      </c>
    </row>
    <row r="720" customFormat="false" ht="12.75" hidden="false" customHeight="false" outlineLevel="0" collapsed="false">
      <c r="A720" s="1" t="n">
        <v>999</v>
      </c>
    </row>
    <row r="721" customFormat="false" ht="12.75" hidden="false" customHeight="false" outlineLevel="0" collapsed="false">
      <c r="A721" s="1" t="n">
        <v>2</v>
      </c>
    </row>
    <row r="722" customFormat="false" ht="12.75" hidden="false" customHeight="false" outlineLevel="0" collapsed="false">
      <c r="A722" s="1" t="n">
        <v>1370870</v>
      </c>
    </row>
    <row r="723" customFormat="false" ht="12.75" hidden="false" customHeight="false" outlineLevel="0" collapsed="false">
      <c r="A723" s="1" t="n">
        <v>136389</v>
      </c>
    </row>
    <row r="724" customFormat="false" ht="12.75" hidden="false" customHeight="false" outlineLevel="0" collapsed="false">
      <c r="A724" s="1" t="n">
        <v>783183</v>
      </c>
    </row>
    <row r="725" customFormat="false" ht="12.75" hidden="false" customHeight="false" outlineLevel="0" collapsed="false">
      <c r="A725" s="1" t="n">
        <v>1150000</v>
      </c>
    </row>
    <row r="726" customFormat="false" ht="12.75" hidden="false" customHeight="false" outlineLevel="0" collapsed="false">
      <c r="A726" s="1" t="n">
        <v>999</v>
      </c>
    </row>
    <row r="727" customFormat="false" ht="12.75" hidden="false" customHeight="false" outlineLevel="0" collapsed="false">
      <c r="A727" s="1" t="n">
        <v>999</v>
      </c>
    </row>
    <row r="728" customFormat="false" ht="12.75" hidden="false" customHeight="false" outlineLevel="0" collapsed="false">
      <c r="A728" s="1" t="n">
        <v>0</v>
      </c>
    </row>
    <row r="729" customFormat="false" ht="12.75" hidden="false" customHeight="false" outlineLevel="0" collapsed="false">
      <c r="A729" s="1" t="n">
        <v>284228</v>
      </c>
    </row>
    <row r="730" customFormat="false" ht="12.75" hidden="false" customHeight="false" outlineLevel="0" collapsed="false">
      <c r="A730" s="1" t="n">
        <v>97987</v>
      </c>
    </row>
    <row r="731" customFormat="false" ht="12.75" hidden="false" customHeight="false" outlineLevel="0" collapsed="false">
      <c r="A731" s="1" t="n">
        <v>999</v>
      </c>
    </row>
    <row r="732" customFormat="false" ht="12.75" hidden="false" customHeight="false" outlineLevel="0" collapsed="false">
      <c r="A732" s="1" t="n">
        <v>0</v>
      </c>
    </row>
    <row r="733" customFormat="false" ht="12.75" hidden="false" customHeight="false" outlineLevel="0" collapsed="false">
      <c r="A733" s="1" t="n">
        <v>999</v>
      </c>
    </row>
    <row r="734" customFormat="false" ht="12.75" hidden="false" customHeight="false" outlineLevel="0" collapsed="false">
      <c r="A734" s="1" t="n">
        <v>3000000</v>
      </c>
    </row>
    <row r="735" customFormat="false" ht="12.75" hidden="false" customHeight="false" outlineLevel="0" collapsed="false">
      <c r="A735" s="1" t="n">
        <v>0</v>
      </c>
    </row>
    <row r="736" customFormat="false" ht="12.75" hidden="false" customHeight="false" outlineLevel="0" collapsed="false">
      <c r="A736" s="1" t="n">
        <v>58227</v>
      </c>
    </row>
    <row r="737" customFormat="false" ht="12.75" hidden="false" customHeight="false" outlineLevel="0" collapsed="false">
      <c r="A737" s="1" t="n">
        <v>3058227</v>
      </c>
    </row>
    <row r="738" customFormat="false" ht="12.75" hidden="false" customHeight="false" outlineLevel="0" collapsed="false">
      <c r="A738" s="1" t="n">
        <v>999</v>
      </c>
    </row>
    <row r="739" customFormat="false" ht="12.75" hidden="false" customHeight="false" outlineLevel="0" collapsed="false">
      <c r="A739" s="1" t="n">
        <v>999</v>
      </c>
    </row>
    <row r="740" customFormat="false" ht="12.75" hidden="false" customHeight="false" outlineLevel="0" collapsed="false">
      <c r="A740" s="1" t="n">
        <v>999</v>
      </c>
    </row>
    <row r="741" customFormat="false" ht="12.75" hidden="false" customHeight="false" outlineLevel="0" collapsed="false">
      <c r="A741" s="1" t="n">
        <v>3</v>
      </c>
    </row>
    <row r="742" customFormat="false" ht="12.75" hidden="false" customHeight="false" outlineLevel="0" collapsed="false">
      <c r="A742" s="1" t="n">
        <v>1370870</v>
      </c>
    </row>
    <row r="743" customFormat="false" ht="12.75" hidden="false" customHeight="false" outlineLevel="0" collapsed="false">
      <c r="A743" s="1" t="n">
        <v>136389</v>
      </c>
    </row>
    <row r="744" customFormat="false" ht="12.75" hidden="false" customHeight="false" outlineLevel="0" collapsed="false">
      <c r="A744" s="1" t="n">
        <v>783183</v>
      </c>
    </row>
    <row r="745" customFormat="false" ht="12.75" hidden="false" customHeight="false" outlineLevel="0" collapsed="false">
      <c r="A745" s="1" t="n">
        <v>1150000</v>
      </c>
    </row>
    <row r="746" customFormat="false" ht="12.75" hidden="false" customHeight="false" outlineLevel="0" collapsed="false">
      <c r="A746" s="1" t="n">
        <v>999</v>
      </c>
    </row>
    <row r="747" customFormat="false" ht="12.75" hidden="false" customHeight="false" outlineLevel="0" collapsed="false">
      <c r="A747" s="1" t="n">
        <v>999</v>
      </c>
    </row>
    <row r="748" customFormat="false" ht="12.75" hidden="false" customHeight="false" outlineLevel="0" collapsed="false">
      <c r="A748" s="1" t="n">
        <v>0</v>
      </c>
    </row>
    <row r="749" customFormat="false" ht="12.75" hidden="false" customHeight="false" outlineLevel="0" collapsed="false">
      <c r="A749" s="1" t="n">
        <v>284228</v>
      </c>
    </row>
    <row r="750" customFormat="false" ht="12.75" hidden="false" customHeight="false" outlineLevel="0" collapsed="false">
      <c r="A750" s="1" t="n">
        <v>97987</v>
      </c>
    </row>
    <row r="751" customFormat="false" ht="12.75" hidden="false" customHeight="false" outlineLevel="0" collapsed="false">
      <c r="A751" s="1" t="n">
        <v>999</v>
      </c>
    </row>
    <row r="752" customFormat="false" ht="12.75" hidden="false" customHeight="false" outlineLevel="0" collapsed="false">
      <c r="A752" s="1" t="n">
        <v>0</v>
      </c>
    </row>
    <row r="753" customFormat="false" ht="12.75" hidden="false" customHeight="false" outlineLevel="0" collapsed="false">
      <c r="A753" s="1" t="n">
        <v>999</v>
      </c>
    </row>
    <row r="754" customFormat="false" ht="12.75" hidden="false" customHeight="false" outlineLevel="0" collapsed="false">
      <c r="A754" s="1" t="n">
        <v>3000000</v>
      </c>
    </row>
    <row r="755" customFormat="false" ht="12.75" hidden="false" customHeight="false" outlineLevel="0" collapsed="false">
      <c r="A755" s="1" t="n">
        <v>0</v>
      </c>
    </row>
    <row r="756" customFormat="false" ht="12.75" hidden="false" customHeight="false" outlineLevel="0" collapsed="false">
      <c r="A756" s="1" t="n">
        <v>58227</v>
      </c>
    </row>
    <row r="757" customFormat="false" ht="12.75" hidden="false" customHeight="false" outlineLevel="0" collapsed="false">
      <c r="A757" s="1" t="n">
        <v>3058227</v>
      </c>
    </row>
    <row r="758" customFormat="false" ht="12.75" hidden="false" customHeight="false" outlineLevel="0" collapsed="false">
      <c r="A758" s="1" t="n">
        <v>999</v>
      </c>
    </row>
    <row r="759" customFormat="false" ht="12.75" hidden="false" customHeight="false" outlineLevel="0" collapsed="false">
      <c r="A759" s="1" t="n">
        <v>999</v>
      </c>
    </row>
    <row r="760" customFormat="false" ht="12.75" hidden="false" customHeight="false" outlineLevel="0" collapsed="false">
      <c r="A760" s="1" t="n">
        <v>999</v>
      </c>
    </row>
    <row r="761" customFormat="false" ht="12.75" hidden="false" customHeight="false" outlineLevel="0" collapsed="false">
      <c r="A761" s="1" t="n">
        <v>4</v>
      </c>
    </row>
    <row r="762" customFormat="false" ht="12.75" hidden="false" customHeight="false" outlineLevel="0" collapsed="false">
      <c r="A762" s="1" t="n">
        <v>1370870</v>
      </c>
    </row>
    <row r="763" customFormat="false" ht="12.75" hidden="false" customHeight="false" outlineLevel="0" collapsed="false">
      <c r="A763" s="1" t="n">
        <v>136389</v>
      </c>
    </row>
    <row r="764" customFormat="false" ht="12.75" hidden="false" customHeight="false" outlineLevel="0" collapsed="false">
      <c r="A764" s="1" t="n">
        <v>783183</v>
      </c>
    </row>
    <row r="765" customFormat="false" ht="12.75" hidden="false" customHeight="false" outlineLevel="0" collapsed="false">
      <c r="A765" s="1" t="n">
        <v>1150000</v>
      </c>
    </row>
    <row r="766" customFormat="false" ht="12.75" hidden="false" customHeight="false" outlineLevel="0" collapsed="false">
      <c r="A766" s="1" t="n">
        <v>999</v>
      </c>
    </row>
    <row r="767" customFormat="false" ht="12.75" hidden="false" customHeight="false" outlineLevel="0" collapsed="false">
      <c r="A767" s="1" t="n">
        <v>999</v>
      </c>
    </row>
    <row r="768" customFormat="false" ht="12.75" hidden="false" customHeight="false" outlineLevel="0" collapsed="false">
      <c r="A768" s="1" t="n">
        <v>0</v>
      </c>
    </row>
    <row r="769" customFormat="false" ht="12.75" hidden="false" customHeight="false" outlineLevel="0" collapsed="false">
      <c r="A769" s="1" t="n">
        <v>284228</v>
      </c>
    </row>
    <row r="770" customFormat="false" ht="12.75" hidden="false" customHeight="false" outlineLevel="0" collapsed="false">
      <c r="A770" s="1" t="n">
        <v>97987</v>
      </c>
    </row>
    <row r="771" customFormat="false" ht="12.75" hidden="false" customHeight="false" outlineLevel="0" collapsed="false">
      <c r="A771" s="1" t="n">
        <v>999</v>
      </c>
    </row>
    <row r="772" customFormat="false" ht="12.75" hidden="false" customHeight="false" outlineLevel="0" collapsed="false">
      <c r="A772" s="1" t="n">
        <v>0</v>
      </c>
    </row>
    <row r="773" customFormat="false" ht="12.75" hidden="false" customHeight="false" outlineLevel="0" collapsed="false">
      <c r="A773" s="1" t="n">
        <v>999</v>
      </c>
    </row>
    <row r="774" customFormat="false" ht="12.75" hidden="false" customHeight="false" outlineLevel="0" collapsed="false">
      <c r="A774" s="1" t="n">
        <v>3000000</v>
      </c>
    </row>
    <row r="775" customFormat="false" ht="12.75" hidden="false" customHeight="false" outlineLevel="0" collapsed="false">
      <c r="A775" s="1" t="n">
        <v>0</v>
      </c>
    </row>
    <row r="776" customFormat="false" ht="12.75" hidden="false" customHeight="false" outlineLevel="0" collapsed="false">
      <c r="A776" s="1" t="n">
        <v>58227</v>
      </c>
    </row>
    <row r="777" customFormat="false" ht="12.75" hidden="false" customHeight="false" outlineLevel="0" collapsed="false">
      <c r="A777" s="1" t="n">
        <v>3058227</v>
      </c>
    </row>
    <row r="778" customFormat="false" ht="12.75" hidden="false" customHeight="false" outlineLevel="0" collapsed="false">
      <c r="A778" s="1" t="n">
        <v>999</v>
      </c>
    </row>
    <row r="779" customFormat="false" ht="12.75" hidden="false" customHeight="false" outlineLevel="0" collapsed="false">
      <c r="A779" s="1" t="n">
        <v>999</v>
      </c>
    </row>
    <row r="780" customFormat="false" ht="12.75" hidden="false" customHeight="false" outlineLevel="0" collapsed="false">
      <c r="A780" s="1" t="n">
        <v>999</v>
      </c>
    </row>
    <row r="781" customFormat="false" ht="12.75" hidden="false" customHeight="false" outlineLevel="0" collapsed="false">
      <c r="A781" s="1" t="n">
        <v>5</v>
      </c>
    </row>
    <row r="782" customFormat="false" ht="12.75" hidden="false" customHeight="false" outlineLevel="0" collapsed="false">
      <c r="A782" s="1" t="n">
        <v>1370870</v>
      </c>
    </row>
    <row r="783" customFormat="false" ht="12.75" hidden="false" customHeight="false" outlineLevel="0" collapsed="false">
      <c r="A783" s="1" t="n">
        <v>136389</v>
      </c>
    </row>
    <row r="784" customFormat="false" ht="12.75" hidden="false" customHeight="false" outlineLevel="0" collapsed="false">
      <c r="A784" s="1" t="n">
        <v>783183</v>
      </c>
    </row>
    <row r="785" customFormat="false" ht="12.75" hidden="false" customHeight="false" outlineLevel="0" collapsed="false">
      <c r="A785" s="1" t="n">
        <v>1150000</v>
      </c>
    </row>
    <row r="786" customFormat="false" ht="12.75" hidden="false" customHeight="false" outlineLevel="0" collapsed="false">
      <c r="A786" s="1" t="n">
        <v>999</v>
      </c>
    </row>
    <row r="787" customFormat="false" ht="12.75" hidden="false" customHeight="false" outlineLevel="0" collapsed="false">
      <c r="A787" s="1" t="n">
        <v>999</v>
      </c>
    </row>
    <row r="788" customFormat="false" ht="12.75" hidden="false" customHeight="false" outlineLevel="0" collapsed="false">
      <c r="A788" s="1" t="n">
        <v>0</v>
      </c>
    </row>
    <row r="789" customFormat="false" ht="12.75" hidden="false" customHeight="false" outlineLevel="0" collapsed="false">
      <c r="A789" s="1" t="n">
        <v>284228</v>
      </c>
    </row>
    <row r="790" customFormat="false" ht="12.75" hidden="false" customHeight="false" outlineLevel="0" collapsed="false">
      <c r="A790" s="1" t="n">
        <v>97987</v>
      </c>
    </row>
    <row r="791" customFormat="false" ht="12.75" hidden="false" customHeight="false" outlineLevel="0" collapsed="false">
      <c r="A791" s="1" t="n">
        <v>999</v>
      </c>
    </row>
    <row r="792" customFormat="false" ht="12.75" hidden="false" customHeight="false" outlineLevel="0" collapsed="false">
      <c r="A792" s="1" t="n">
        <v>0</v>
      </c>
    </row>
    <row r="793" customFormat="false" ht="12.75" hidden="false" customHeight="false" outlineLevel="0" collapsed="false">
      <c r="A793" s="1" t="n">
        <v>999</v>
      </c>
    </row>
    <row r="794" customFormat="false" ht="12.75" hidden="false" customHeight="false" outlineLevel="0" collapsed="false">
      <c r="A794" s="1" t="n">
        <v>3000000</v>
      </c>
    </row>
    <row r="795" customFormat="false" ht="12.75" hidden="false" customHeight="false" outlineLevel="0" collapsed="false">
      <c r="A795" s="1" t="n">
        <v>0</v>
      </c>
    </row>
    <row r="796" customFormat="false" ht="12.75" hidden="false" customHeight="false" outlineLevel="0" collapsed="false">
      <c r="A796" s="1" t="n">
        <v>58227</v>
      </c>
    </row>
    <row r="797" customFormat="false" ht="12.75" hidden="false" customHeight="false" outlineLevel="0" collapsed="false">
      <c r="A797" s="1" t="n">
        <v>3058227</v>
      </c>
    </row>
    <row r="798" customFormat="false" ht="12.75" hidden="false" customHeight="false" outlineLevel="0" collapsed="false">
      <c r="A798" s="1" t="n">
        <v>999</v>
      </c>
    </row>
    <row r="799" customFormat="false" ht="12.75" hidden="false" customHeight="false" outlineLevel="0" collapsed="false">
      <c r="A799" s="1" t="n">
        <v>999</v>
      </c>
    </row>
    <row r="800" customFormat="false" ht="12.75" hidden="false" customHeight="false" outlineLevel="0" collapsed="false">
      <c r="A800" s="1" t="n">
        <v>999</v>
      </c>
    </row>
    <row r="801" customFormat="false" ht="12.75" hidden="false" customHeight="false" outlineLevel="0" collapsed="false">
      <c r="A801" s="1" t="n">
        <v>6</v>
      </c>
    </row>
    <row r="802" customFormat="false" ht="12.75" hidden="false" customHeight="false" outlineLevel="0" collapsed="false">
      <c r="A802" s="1" t="n">
        <v>1370870</v>
      </c>
    </row>
    <row r="803" customFormat="false" ht="12.75" hidden="false" customHeight="false" outlineLevel="0" collapsed="false">
      <c r="A803" s="1" t="n">
        <v>136389</v>
      </c>
    </row>
    <row r="804" customFormat="false" ht="12.75" hidden="false" customHeight="false" outlineLevel="0" collapsed="false">
      <c r="A804" s="1" t="n">
        <v>783183</v>
      </c>
    </row>
    <row r="805" customFormat="false" ht="12.75" hidden="false" customHeight="false" outlineLevel="0" collapsed="false">
      <c r="A805" s="1" t="n">
        <v>1150000</v>
      </c>
    </row>
    <row r="806" customFormat="false" ht="12.75" hidden="false" customHeight="false" outlineLevel="0" collapsed="false">
      <c r="A806" s="1" t="n">
        <v>999</v>
      </c>
    </row>
    <row r="807" customFormat="false" ht="12.75" hidden="false" customHeight="false" outlineLevel="0" collapsed="false">
      <c r="A807" s="1" t="n">
        <v>999</v>
      </c>
    </row>
    <row r="808" customFormat="false" ht="12.75" hidden="false" customHeight="false" outlineLevel="0" collapsed="false">
      <c r="A808" s="1" t="n">
        <v>0</v>
      </c>
    </row>
    <row r="809" customFormat="false" ht="12.75" hidden="false" customHeight="false" outlineLevel="0" collapsed="false">
      <c r="A809" s="1" t="n">
        <v>284228</v>
      </c>
    </row>
    <row r="810" customFormat="false" ht="12.75" hidden="false" customHeight="false" outlineLevel="0" collapsed="false">
      <c r="A810" s="1" t="n">
        <v>97987</v>
      </c>
    </row>
    <row r="811" customFormat="false" ht="12.75" hidden="false" customHeight="false" outlineLevel="0" collapsed="false">
      <c r="A811" s="1" t="n">
        <v>999</v>
      </c>
    </row>
    <row r="812" customFormat="false" ht="12.75" hidden="false" customHeight="false" outlineLevel="0" collapsed="false">
      <c r="A812" s="1" t="n">
        <v>0</v>
      </c>
    </row>
    <row r="813" customFormat="false" ht="12.75" hidden="false" customHeight="false" outlineLevel="0" collapsed="false">
      <c r="A813" s="1" t="n">
        <v>999</v>
      </c>
    </row>
    <row r="814" customFormat="false" ht="12.75" hidden="false" customHeight="false" outlineLevel="0" collapsed="false">
      <c r="A814" s="1" t="n">
        <v>3000000</v>
      </c>
    </row>
    <row r="815" customFormat="false" ht="12.75" hidden="false" customHeight="false" outlineLevel="0" collapsed="false">
      <c r="A815" s="1" t="n">
        <v>0</v>
      </c>
    </row>
    <row r="816" customFormat="false" ht="12.75" hidden="false" customHeight="false" outlineLevel="0" collapsed="false">
      <c r="A816" s="1" t="n">
        <v>58227</v>
      </c>
    </row>
    <row r="817" customFormat="false" ht="12.75" hidden="false" customHeight="false" outlineLevel="0" collapsed="false">
      <c r="A817" s="1" t="n">
        <v>3058227</v>
      </c>
    </row>
    <row r="818" customFormat="false" ht="12.75" hidden="false" customHeight="false" outlineLevel="0" collapsed="false">
      <c r="A818" s="1" t="n">
        <v>999</v>
      </c>
    </row>
    <row r="819" customFormat="false" ht="12.75" hidden="false" customHeight="false" outlineLevel="0" collapsed="false">
      <c r="A819" s="1" t="n">
        <v>999</v>
      </c>
    </row>
    <row r="820" customFormat="false" ht="12.75" hidden="false" customHeight="false" outlineLevel="0" collapsed="false">
      <c r="A820" s="1" t="n">
        <v>999</v>
      </c>
    </row>
    <row r="821" customFormat="false" ht="12.75" hidden="false" customHeight="false" outlineLevel="0" collapsed="false">
      <c r="A821" s="1" t="n">
        <v>7</v>
      </c>
    </row>
    <row r="822" customFormat="false" ht="12.75" hidden="false" customHeight="false" outlineLevel="0" collapsed="false">
      <c r="A822" s="1" t="n">
        <v>1370870</v>
      </c>
    </row>
    <row r="823" customFormat="false" ht="12.75" hidden="false" customHeight="false" outlineLevel="0" collapsed="false">
      <c r="A823" s="1" t="n">
        <v>136389</v>
      </c>
    </row>
    <row r="824" customFormat="false" ht="12.75" hidden="false" customHeight="false" outlineLevel="0" collapsed="false">
      <c r="A824" s="1" t="n">
        <v>783183</v>
      </c>
    </row>
    <row r="825" customFormat="false" ht="12.75" hidden="false" customHeight="false" outlineLevel="0" collapsed="false">
      <c r="A825" s="1" t="n">
        <v>1150000</v>
      </c>
    </row>
    <row r="826" customFormat="false" ht="12.75" hidden="false" customHeight="false" outlineLevel="0" collapsed="false">
      <c r="A826" s="1" t="n">
        <v>999</v>
      </c>
    </row>
    <row r="827" customFormat="false" ht="12.75" hidden="false" customHeight="false" outlineLevel="0" collapsed="false">
      <c r="A827" s="1" t="n">
        <v>999</v>
      </c>
    </row>
    <row r="828" customFormat="false" ht="12.75" hidden="false" customHeight="false" outlineLevel="0" collapsed="false">
      <c r="A828" s="1" t="n">
        <v>0</v>
      </c>
    </row>
    <row r="829" customFormat="false" ht="12.75" hidden="false" customHeight="false" outlineLevel="0" collapsed="false">
      <c r="A829" s="1" t="n">
        <v>284228</v>
      </c>
    </row>
    <row r="830" customFormat="false" ht="12.75" hidden="false" customHeight="false" outlineLevel="0" collapsed="false">
      <c r="A830" s="1" t="n">
        <v>97987</v>
      </c>
    </row>
    <row r="831" customFormat="false" ht="12.75" hidden="false" customHeight="false" outlineLevel="0" collapsed="false">
      <c r="A831" s="1" t="n">
        <v>999</v>
      </c>
    </row>
    <row r="832" customFormat="false" ht="12.75" hidden="false" customHeight="false" outlineLevel="0" collapsed="false">
      <c r="A832" s="1" t="n">
        <v>0</v>
      </c>
    </row>
    <row r="833" customFormat="false" ht="12.75" hidden="false" customHeight="false" outlineLevel="0" collapsed="false">
      <c r="A833" s="1" t="n">
        <v>999</v>
      </c>
    </row>
    <row r="834" customFormat="false" ht="12.75" hidden="false" customHeight="false" outlineLevel="0" collapsed="false">
      <c r="A834" s="1" t="n">
        <v>3000000</v>
      </c>
    </row>
    <row r="835" customFormat="false" ht="12.75" hidden="false" customHeight="false" outlineLevel="0" collapsed="false">
      <c r="A835" s="1" t="n">
        <v>0</v>
      </c>
    </row>
    <row r="836" customFormat="false" ht="12.75" hidden="false" customHeight="false" outlineLevel="0" collapsed="false">
      <c r="A836" s="1" t="n">
        <v>58227</v>
      </c>
    </row>
    <row r="837" customFormat="false" ht="12.75" hidden="false" customHeight="false" outlineLevel="0" collapsed="false">
      <c r="A837" s="1" t="n">
        <v>3058227</v>
      </c>
    </row>
    <row r="838" customFormat="false" ht="12.75" hidden="false" customHeight="false" outlineLevel="0" collapsed="false">
      <c r="A838" s="1" t="n">
        <v>999</v>
      </c>
    </row>
    <row r="839" customFormat="false" ht="12.75" hidden="false" customHeight="false" outlineLevel="0" collapsed="false">
      <c r="A839" s="1" t="n">
        <v>999</v>
      </c>
    </row>
    <row r="840" customFormat="false" ht="12.75" hidden="false" customHeight="false" outlineLevel="0" collapsed="false">
      <c r="A840" s="1" t="n">
        <v>999</v>
      </c>
    </row>
    <row r="841" customFormat="false" ht="12.75" hidden="false" customHeight="false" outlineLevel="0" collapsed="false">
      <c r="A841" s="1" t="n">
        <v>8</v>
      </c>
    </row>
    <row r="842" customFormat="false" ht="12.75" hidden="false" customHeight="false" outlineLevel="0" collapsed="false">
      <c r="A842" s="1" t="n">
        <v>1370870</v>
      </c>
    </row>
    <row r="843" customFormat="false" ht="12.75" hidden="false" customHeight="false" outlineLevel="0" collapsed="false">
      <c r="A843" s="1" t="n">
        <v>136389</v>
      </c>
    </row>
    <row r="844" customFormat="false" ht="12.75" hidden="false" customHeight="false" outlineLevel="0" collapsed="false">
      <c r="A844" s="1" t="n">
        <v>783183</v>
      </c>
    </row>
    <row r="845" customFormat="false" ht="12.75" hidden="false" customHeight="false" outlineLevel="0" collapsed="false">
      <c r="A845" s="1" t="n">
        <v>1150000</v>
      </c>
    </row>
    <row r="846" customFormat="false" ht="12.75" hidden="false" customHeight="false" outlineLevel="0" collapsed="false">
      <c r="A846" s="1" t="n">
        <v>999</v>
      </c>
    </row>
    <row r="847" customFormat="false" ht="12.75" hidden="false" customHeight="false" outlineLevel="0" collapsed="false">
      <c r="A847" s="1" t="n">
        <v>999</v>
      </c>
    </row>
    <row r="848" customFormat="false" ht="12.75" hidden="false" customHeight="false" outlineLevel="0" collapsed="false">
      <c r="A848" s="1" t="n">
        <v>0</v>
      </c>
    </row>
    <row r="849" customFormat="false" ht="12.75" hidden="false" customHeight="false" outlineLevel="0" collapsed="false">
      <c r="A849" s="1" t="n">
        <v>284228</v>
      </c>
    </row>
    <row r="850" customFormat="false" ht="12.75" hidden="false" customHeight="false" outlineLevel="0" collapsed="false">
      <c r="A850" s="1" t="n">
        <v>97987</v>
      </c>
    </row>
    <row r="851" customFormat="false" ht="12.75" hidden="false" customHeight="false" outlineLevel="0" collapsed="false">
      <c r="A851" s="1" t="n">
        <v>999</v>
      </c>
    </row>
    <row r="852" customFormat="false" ht="12.75" hidden="false" customHeight="false" outlineLevel="0" collapsed="false">
      <c r="A852" s="1" t="n">
        <v>0</v>
      </c>
    </row>
    <row r="853" customFormat="false" ht="12.75" hidden="false" customHeight="false" outlineLevel="0" collapsed="false">
      <c r="A853" s="1" t="n">
        <v>999</v>
      </c>
    </row>
    <row r="854" customFormat="false" ht="12.75" hidden="false" customHeight="false" outlineLevel="0" collapsed="false">
      <c r="A854" s="1" t="n">
        <v>3000000</v>
      </c>
    </row>
    <row r="855" customFormat="false" ht="12.75" hidden="false" customHeight="false" outlineLevel="0" collapsed="false">
      <c r="A855" s="1" t="n">
        <v>0</v>
      </c>
    </row>
    <row r="856" customFormat="false" ht="12.75" hidden="false" customHeight="false" outlineLevel="0" collapsed="false">
      <c r="A856" s="1" t="n">
        <v>58227</v>
      </c>
    </row>
    <row r="857" customFormat="false" ht="12.75" hidden="false" customHeight="false" outlineLevel="0" collapsed="false">
      <c r="A857" s="1" t="n">
        <v>3058227</v>
      </c>
    </row>
    <row r="858" customFormat="false" ht="12.75" hidden="false" customHeight="false" outlineLevel="0" collapsed="false">
      <c r="A858" s="1" t="n">
        <v>999</v>
      </c>
    </row>
    <row r="859" customFormat="false" ht="12.75" hidden="false" customHeight="false" outlineLevel="0" collapsed="false">
      <c r="A859" s="1" t="n">
        <v>999</v>
      </c>
    </row>
    <row r="860" customFormat="false" ht="12.75" hidden="false" customHeight="false" outlineLevel="0" collapsed="false">
      <c r="A860" s="1" t="n">
        <v>999</v>
      </c>
    </row>
    <row r="861" customFormat="false" ht="12.75" hidden="false" customHeight="false" outlineLevel="0" collapsed="false">
      <c r="A861" s="1" t="s">
        <v>343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2009-10-13T08:17:42Z</dcterms:created>
  <dc:creator>Bill</dc:creator>
  <dc:description/>
  <dc:language>en-US</dc:language>
  <cp:lastModifiedBy/>
  <cp:lastPrinted>2015-06-10T13:52:25Z</cp:lastPrinted>
  <dcterms:modified xsi:type="dcterms:W3CDTF">2026-07-14T19:45:43Z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